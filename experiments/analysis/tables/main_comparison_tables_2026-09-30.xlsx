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2"/>
    <sheet name="Overview" sheetId="2" state="visible" r:id="rId3"/>
    <sheet name="1x1" sheetId="3" state="visible" r:id="rId4"/>
    <sheet name="1x3" sheetId="4" state="visible" r:id="rId5"/>
    <sheet name="Dublin 02h" sheetId="5" state="visible" r:id="rId6"/>
    <sheet name="Dublin 11h" sheetId="6" state="visible" r:id="rId7"/>
    <sheet name="Dublin 18h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<sst xmlns="http://schemas.openxmlformats.org/spreadsheetml/2006/main" count="616" uniqueCount="193">
  <si>
    <t xml:space="preserve">Main comparison tables - 8STD (standard-phase template + DQN) vs GS-ENUM (enumerated phase sets + FRAP) - 2026-09-30</t>
  </si>
  <si>
    <t xml:space="preserve">Sheets: Overview | 1x1 | 1x3 | Dublin 02h | Dublin 11h | Dublin 18h. Each block: 5 stopped-time rows + ordering gate + 5 stop-event rows + ordering gate.</t>
  </si>
  <si>
    <t xml:space="preserve">Means and s.d. are measured data (copied from the json behind each PNG); relative differences, ordering gates, type-swap statistics and per-seed recomputations are formulas. Green cell = the better (lower) arm in that row.</t>
  </si>
  <si>
    <t xml:space="preserve">Protocol A (best checkpoint x evaluation seeds): each arm's best.pth (best sliding mean of 3 evaluations during training) is re-evaluated once per seed (123-132); training-collector metrics, 5 s sampling, per visit; 'GS wins' = number of seeds where GS is better (paired by seed).</t>
  </si>
  <si>
    <t xml:space="preserve">Protocol B (tail-40 evaluations): the 40 evaluations at episodes 605-800 (every 5) during training, evaluation seed 123 fixed - 40 different policies on one seed. Only the Dublin 11h tail-40 block uses this protocol (same data as the 11h block of main_comparison_8std_vs_frap_2026-09-22_en.png).</t>
  </si>
  <si>
    <t xml:space="preserve">A and B are not directly comparable: A measures the robustness of one fixed policy to traffic randomness; B measures late-training policy fluctuation.</t>
  </si>
  <si>
    <t xml:space="preserve">Anomaly exclusion only by symmetric, stated rules (any junction with all-class stopped time above the threshold in either arm -&gt; the seed is removed from both arms). Each block title states whether the rule hit.</t>
  </si>
  <si>
    <t xml:space="preserve">J(531) = per-class per-visit metric weighted 5/3/1 (ambulance/bus/car) by each scenario's traffic shares (see plotting scripts).</t>
  </si>
  <si>
    <t xml:space="preserve">Ambulance sample: Dublin 02h has 2 ambulances per evaluation, 11h has 4, 18h has 1 (probe route); grids 1x1/1x3 have many more. Do not cite the Dublin ambulance means alone.</t>
  </si>
  <si>
    <t xml:space="preserve">Dublin 11h: the primary block is the USER-SELECTED protocol - seeds 128 and 132 removed from both arms, because in those two seeds the 8STD ambulance amb_0 was caught for 45 s / 90 s at junction 389281 by the Aungier Street right-turn queue spilling back from the unsignalised yield junction (an exogenous bottleneck outside the control set). The full 10-seed result is kept as a reference block; both appear in the Overview.</t>
  </si>
  <si>
    <t xml:space="preserve">Dublin 18h: PRIMARY block has three arms - 8STD (exp298 ep200), GS (exp300 ep145: split-slot net only) and GS-2 (exp301 ep95: exp300 + since-green observation + log-scale waiting + pressure-anchored phase score + TD-target floor -50); computed from the raw per-seed collector json with the same formulas as the PNG tables. Reference blocks below it: two-arm rerouted v2 (177 cars/h leave at the end of the Aungier approach instead of turning into Peter's Row; GS uses the split-slot enumerated net), best checkpoints exp298 ep200 (8STD, training stopped at ep253) vs exp300 ep145 (GS, training still running) - a snapshot, not a final result. A USER-SELECTED 5-seed block (seeds with zero ambulance stops in both arms) and the original-scenario blocks (exp289/290, 7 of 10 seeds anomalous by the &gt;100 s rule) are kept as reference.</t>
  </si>
  <si>
    <t xml:space="preserve">Source files and generator: experiments/tools/figures/build_main_comparison_xlsx_2026-09-30.py; json paths are on line 2 of each sheet.</t>
  </si>
  <si>
    <t xml:space="preserve">Overview: all-class stopped time / visit and J(531) per block (formulas referencing the scenario sheets)</t>
  </si>
  <si>
    <t xml:space="preserve">Scenario / block</t>
  </si>
  <si>
    <t xml:space="preserve">Protocol</t>
  </si>
  <si>
    <t xml:space="preserve">8STD all-class stopped time / visit (s)</t>
  </si>
  <si>
    <t xml:space="preserve">GS-ENUM all-class stopped time / visit (s)</t>
  </si>
  <si>
    <t xml:space="preserve">Rel. diff</t>
  </si>
  <si>
    <t xml:space="preserve">8STD J(531)</t>
  </si>
  <si>
    <t xml:space="preserve">GS-ENUM J(531)</t>
  </si>
  <si>
    <t xml:space="preserve">J rel. diff</t>
  </si>
  <si>
    <t xml:space="preserve">GS wins (J)</t>
  </si>
  <si>
    <t xml:space="preserve">Ordering gate 8STD (stopped time)</t>
  </si>
  <si>
    <t xml:space="preserve">Ordering gate GS (stopped time)</t>
  </si>
  <si>
    <t xml:space="preserve">1x1: 1x1, best checkpoints (8STD: exp274 ep1325, GS-ENUM: exp263 ep1370), 10 seeds; anomaly rule (junction &gt; 50 s): no hits</t>
  </si>
  <si>
    <t xml:space="preserve">A</t>
  </si>
  <si>
    <t xml:space="preserve">1x1: 1x1, best checkpoints, excl. Tukey-outlier seed(s) 128 (1.5 IQR, all-class stopped time / visit, either arm), n = 9</t>
  </si>
  <si>
    <t xml:space="preserve">1x3: 1x3, best checkpoints (8STD: exp275 ep1785, GS-ENUM: exp265 ep580), 10 seeds; anomaly rule (junction &gt; 50 s): no hits</t>
  </si>
  <si>
    <t xml:space="preserve">Dublin 02h: Dublin 02:00, ambulance probe route, best checkpoints (8STD: exp287 ep770, GS-ENUM: exp288 ep760), 10 evaluation seeds</t>
  </si>
  <si>
    <t xml:space="preserve">Dublin 11h: Dublin 11:00, best checkpoints x 8 seeds, seeds 128 &amp; 132 removed (8STD: exp208 ep240, GS-ENUM: exp211 ep215)  [USER-SELECTED]</t>
  </si>
  <si>
    <t xml:space="preserve">Dublin 11h: Dublin 11:00, best checkpoints x 10 seeds, all seeds (8STD: exp208 ep240, GS-ENUM: exp211 ep215)  [reference]</t>
  </si>
  <si>
    <t xml:space="preserve">Dublin 11h: Dublin 11:00 tail-40 [Protocol B]</t>
  </si>
  <si>
    <t xml:space="preserve">B</t>
  </si>
  <si>
    <t xml:space="preserve">Dublin 18h: Dublin 18:00, rerouted scenario v2, best checkpoints x 10 seeds, two arms (8STD: exp298 ep200, GS-ENUM: exp300 ep145); anomaly rule (&gt;100 s): no hits  [reference: same data as the PNG]</t>
  </si>
  <si>
    <t xml:space="preserve">Dublin 18h: Dublin 18:00, rerouted scenario v2, 5 seeds with zero ambulance stops in both arms (123, 126, 128, 131, 132)  [USER-SELECTED]</t>
  </si>
  <si>
    <t xml:space="preserve">Dublin 18h: Dublin 18:00, ORIGINAL scenario, best checkpoints x 10 seeds (8STD: exp289 ep270, GS-ENUM: exp290 ep75)  [reference]</t>
  </si>
  <si>
    <t xml:space="preserve">Dublin 18h: Dublin 18:00, ORIGINAL scenario, excl. 7 anomalous seeds (any junction &gt; 100 s in either arm: 124, 125, 127, 128, 130, 131, 132), 3 seeds  [reference]</t>
  </si>
  <si>
    <t xml:space="preserve">Dublin 18h three-arm block (8STD | GS exp300 | GS-2 exp301): all-class stopped time / visit and J(531)</t>
  </si>
  <si>
    <t xml:space="preserve">Block</t>
  </si>
  <si>
    <t xml:space="preserve">8STD all</t>
  </si>
  <si>
    <t xml:space="preserve">GS (exp300) all</t>
  </si>
  <si>
    <t xml:space="preserve">GS-2 (exp301) all</t>
  </si>
  <si>
    <t xml:space="preserve">GS vs 8STD</t>
  </si>
  <si>
    <t xml:space="preserve">GS-2 vs 8STD</t>
  </si>
  <si>
    <t xml:space="preserve">8STD J</t>
  </si>
  <si>
    <t xml:space="preserve">GS J</t>
  </si>
  <si>
    <t xml:space="preserve">GS-2 J</t>
  </si>
  <si>
    <t xml:space="preserve">GS-2 wins (J)</t>
  </si>
  <si>
    <t xml:space="preserve">Dublin 18:00 rerouted v2, three arms, 10 seeds [PRIMARY]</t>
  </si>
  <si>
    <t xml:space="preserve">1x1: best checkpoints x 10 evaluation seeds (123, 124, 125, 126, 127, 128, 129, 130, 131, 132); Protocol A</t>
  </si>
  <si>
    <t xml:space="preserve">Source: experiments/analysis/figures/main_comparison_1x1_best10seeds_2026-09-30_en.json (same data as the PNG of that name); anomalous seeds (symmetric rule): none; Tukey outlier seeds: [128]</t>
  </si>
  <si>
    <t xml:space="preserve">1x1, best checkpoints (8STD: exp274 ep1325, GS-ENUM: exp263 ep1370), 10 seeds; anomaly rule (junction &gt; 50 s): no hits</t>
  </si>
  <si>
    <t xml:space="preserve">Metric</t>
  </si>
  <si>
    <t xml:space="preserve">8STD mean</t>
  </si>
  <si>
    <t xml:space="preserve">8STD s.d.</t>
  </si>
  <si>
    <t xml:space="preserve">GS-ENUM mean</t>
  </si>
  <si>
    <t xml:space="preserve">GS-ENUM s.d.</t>
  </si>
  <si>
    <t xml:space="preserve">Rel. diff (GS-8STD)/8STD</t>
  </si>
  <si>
    <t xml:space="preserve">GS wins / paired</t>
  </si>
  <si>
    <t xml:space="preserve">Notes</t>
  </si>
  <si>
    <t xml:space="preserve">Stopped time / visit (s) - car</t>
  </si>
  <si>
    <t xml:space="preserve">Stopped time / visit (s) - bus</t>
  </si>
  <si>
    <t xml:space="preserve">Stopped time / visit (s) - ambulance</t>
  </si>
  <si>
    <t xml:space="preserve">Few ambulances per evaluation in Dublin (02h: 2, 11h: 4, 18h: 1); do not cite the mean alone</t>
  </si>
  <si>
    <t xml:space="preserve">Stopped time / visit (s) - all</t>
  </si>
  <si>
    <t xml:space="preserve">J(531) weighted cost (per visit)</t>
  </si>
  <si>
    <t xml:space="preserve">1/10</t>
  </si>
  <si>
    <t xml:space="preserve">Ordering gate (stopped time): amb &lt;= bus &lt;= car</t>
  </si>
  <si>
    <t xml:space="preserve">tol. 5 s = tolerance of one 5 s sampling quantum</t>
  </si>
  <si>
    <t xml:space="preserve">Stop events / visit - car</t>
  </si>
  <si>
    <t xml:space="preserve">Stop events / visit - bus</t>
  </si>
  <si>
    <t xml:space="preserve">Stop events / visit - ambulance</t>
  </si>
  <si>
    <t xml:space="preserve">Stop events / visit - all</t>
  </si>
  <si>
    <t xml:space="preserve">J(531) weighted stop events (per visit)</t>
  </si>
  <si>
    <t xml:space="preserve">Ordering gate (stop events): amb &lt;= bus &lt;= car</t>
  </si>
  <si>
    <t xml:space="preserve">1x1, best checkpoints, excl. Tukey-outlier seed(s) 128 (1.5 IQR, all-class stopped time / visit, either arm), n = 9</t>
  </si>
  <si>
    <t xml:space="preserve">0/9</t>
  </si>
  <si>
    <t xml:space="preserve">1x1: per-seed raw values, mean / s.d. recomputed by formula</t>
  </si>
  <si>
    <t xml:space="preserve">Arm / class / metric</t>
  </si>
  <si>
    <t xml:space="preserve">seed 123</t>
  </si>
  <si>
    <t xml:space="preserve">seed 124</t>
  </si>
  <si>
    <t xml:space="preserve">seed 125</t>
  </si>
  <si>
    <t xml:space="preserve">seed 126</t>
  </si>
  <si>
    <t xml:space="preserve">seed 127</t>
  </si>
  <si>
    <t xml:space="preserve">seed 128</t>
  </si>
  <si>
    <t xml:space="preserve">seed 129</t>
  </si>
  <si>
    <t xml:space="preserve">seed 130</t>
  </si>
  <si>
    <t xml:space="preserve">seed 131</t>
  </si>
  <si>
    <t xml:space="preserve">seed 132</t>
  </si>
  <si>
    <t xml:space="preserve">Mean</t>
  </si>
  <si>
    <t xml:space="preserve">S.d.</t>
  </si>
  <si>
    <t xml:space="preserve">8STD - car - stopped time / visit (s)</t>
  </si>
  <si>
    <t xml:space="preserve">8STD - car - stop events / visit</t>
  </si>
  <si>
    <t xml:space="preserve">8STD - bus - stopped time / visit (s)</t>
  </si>
  <si>
    <t xml:space="preserve">8STD - bus - stop events / visit</t>
  </si>
  <si>
    <t xml:space="preserve">8STD - ambulance - stopped time / visit (s)</t>
  </si>
  <si>
    <t xml:space="preserve">8STD - ambulance - stop events / visit</t>
  </si>
  <si>
    <t xml:space="preserve">8STD - all - stopped time / visit (s)</t>
  </si>
  <si>
    <t xml:space="preserve">8STD - all - stop events / visit</t>
  </si>
  <si>
    <t xml:space="preserve">GS - car - stopped time / visit (s)</t>
  </si>
  <si>
    <t xml:space="preserve">GS - car - stop events / visit</t>
  </si>
  <si>
    <t xml:space="preserve">GS - bus - stopped time / visit (s)</t>
  </si>
  <si>
    <t xml:space="preserve">GS - bus - stop events / visit</t>
  </si>
  <si>
    <t xml:space="preserve">GS - ambulance - stopped time / visit (s)</t>
  </si>
  <si>
    <t xml:space="preserve">GS - ambulance - stop events / visit</t>
  </si>
  <si>
    <t xml:space="preserve">GS - all - stopped time / visit (s)</t>
  </si>
  <si>
    <t xml:space="preserve">GS - all - stop events / visit</t>
  </si>
  <si>
    <t xml:space="preserve">1x3: best checkpoints x 10 evaluation seeds (123, 124, 125, 126, 127, 128, 129, 130, 131, 132); Protocol A</t>
  </si>
  <si>
    <t xml:space="preserve">Source: experiments/analysis/figures/main_comparison_1x3_best10seeds_2026-09-30_en.json (same data as the PNG of that name); anomalous seeds (symmetric rule): none; Tukey outlier seeds: none</t>
  </si>
  <si>
    <t xml:space="preserve">1x3, best checkpoints (8STD: exp275 ep1785, GS-ENUM: exp265 ep580), 10 seeds; anomaly rule (junction &gt; 50 s): no hits</t>
  </si>
  <si>
    <t xml:space="preserve">0/10</t>
  </si>
  <si>
    <t xml:space="preserve">1x3: per-seed raw values, mean / s.d. recomputed by formula</t>
  </si>
  <si>
    <t xml:space="preserve">Dublin 02h: best checkpoints x 10 evaluation seeds (123, 124, 125, 126, 127, 128, 129, 130, 131, 132); Protocol A; ambulance route = 11h amb_1 route (2 ambulances)</t>
  </si>
  <si>
    <t xml:space="preserve">Source: experiments/analysis/figures/main_comparison_02h_best10seeds_2026-09-30_en.json (same data as the PNG of that name); anomalous seeds (symmetric rule): none; Tukey outlier seeds: none</t>
  </si>
  <si>
    <t xml:space="preserve">Dublin 02:00, ambulance probe route, best checkpoints (8STD: exp287 ep770, GS-ENUM: exp288 ep760), 10 evaluation seeds</t>
  </si>
  <si>
    <t xml:space="preserve">9/10</t>
  </si>
  <si>
    <t xml:space="preserve">10/10</t>
  </si>
  <si>
    <t xml:space="preserve">Ordering gate (stop events): amb &lt;= bus &lt;= car (amb n/a: bus &lt;= car only)</t>
  </si>
  <si>
    <t xml:space="preserve">1-4 ambulances per evaluation: stop events take values 0 / 0.5 / 1 only, not comparable with the bus mean over hundreds of vehicles</t>
  </si>
  <si>
    <t xml:space="preserve">Dublin 02h: same route &amp; departure time, ambulance vs bus probe, best checkpoints, 10 seeds</t>
  </si>
  <si>
    <t xml:space="preserve">Vehicle / metric</t>
  </si>
  <si>
    <t xml:space="preserve">8STD - ambulance (probe route) - Stopped time / visit (s)</t>
  </si>
  <si>
    <t xml:space="preserve">8STD - bus (same route &amp; time) - Stopped time / visit (s)</t>
  </si>
  <si>
    <t xml:space="preserve">8STD - ambulance (probe route) - Stop events / visit</t>
  </si>
  <si>
    <t xml:space="preserve">8STD - bus (same route &amp; time) - Stop events / visit</t>
  </si>
  <si>
    <t xml:space="preserve">GS - ambulance (probe route) - Stopped time / visit (s)</t>
  </si>
  <si>
    <t xml:space="preserve">GS - bus (same route &amp; time) - Stopped time / visit (s)</t>
  </si>
  <si>
    <t xml:space="preserve">GS - ambulance (probe route) - Stop events / visit</t>
  </si>
  <si>
    <t xml:space="preserve">GS - bus (same route &amp; time) - Stop events / visit</t>
  </si>
  <si>
    <t xml:space="preserve">8STD - stopped time: evaluations with ambulance &lt; bus / ties</t>
  </si>
  <si>
    <t xml:space="preserve">8STD - stop events: evaluations with ambulance &lt; bus / ties</t>
  </si>
  <si>
    <t xml:space="preserve">GS - stopped time: evaluations with ambulance &lt; bus / ties</t>
  </si>
  <si>
    <t xml:space="preserve">GS - stop events: evaluations with ambulance &lt; bus / ties</t>
  </si>
  <si>
    <t xml:space="preserve">Dublin 11h: best checkpoints x 8 evaluation seeds (123, 124, 125, 126, 127, 129, 130, 131); Protocol A, USER-SELECTED: seeds 128 and 132 removed from both arms (8STD amb_0 caught at 389281 by Aungier St spillback, 45 s / 90 s)</t>
  </si>
  <si>
    <t xml:space="preserve">Source: experiments/analysis/figures/main_comparison_11h_best10seeds_SELECTED_excl128_132_2026-09-30_en.json (same data as the PNG of that name); anomalous seeds (symmetric rule): none; Tukey outlier seeds: none</t>
  </si>
  <si>
    <t xml:space="preserve">Dublin 11:00, best checkpoints x 8 seeds, seeds 128 &amp; 132 removed (8STD: exp208 ep240, GS-ENUM: exp211 ep215)  [USER-SELECTED]</t>
  </si>
  <si>
    <t xml:space="preserve">8/8</t>
  </si>
  <si>
    <t xml:space="preserve">Dublin 11:00: same route &amp; departure time, ambulance vs bus probe, best checkpoints, 8 seeds [USER-SELECTED]</t>
  </si>
  <si>
    <t xml:space="preserve">Dublin 11h: best checkpoints x 10 evaluation seeds (123, 124, 125, 126, 127, 128, 129, 130, 131, 132); Protocol A, all 10 seeds (reference)</t>
  </si>
  <si>
    <t xml:space="preserve">Source: experiments/analysis/figures/main_comparison_11h_best10seeds_2026-09-30_en.json (same data as the PNG of that name); anomalous seeds (symmetric rule): none; Tukey outlier seeds: none</t>
  </si>
  <si>
    <t xml:space="preserve">Dublin 11:00, best checkpoints x 10 seeds, all seeds (8STD: exp208 ep240, GS-ENUM: exp211 ep215)  [reference]</t>
  </si>
  <si>
    <t xml:space="preserve">Dublin 11:00, tail-40 evaluations (episodes 605-800 every 5, evaluation seed 123)  (8STD: exp208, GS-ENUM: exp211)  [Protocol B]</t>
  </si>
  <si>
    <t xml:space="preserve">40/40</t>
  </si>
  <si>
    <t xml:space="preserve">Constants from plot_main_table_en_2026-09-22.py (S/EV) = the 11h block of main_comparison_8std_vs_frap_2026-09-22_en.png; 'GS wins 40/40' = J better in all 40 evaluations.</t>
  </si>
  <si>
    <t xml:space="preserve">Dublin 18h: rerouted scenario v2 (177 cars/h leave at the Aungier approach end); GS arms on the split-slot enumerated net; SNAPSHOT (exp300 / exp301 still training)</t>
  </si>
  <si>
    <t xml:space="preserve">GS = exp300 (split-slot net, no other change); GS-2 = exp301 = exp300 + since-green observation + log-scale waiting + pressure-anchored phase score + TD-target floor -50. Best checkpoints frozen 2026-09-30 evening: 8STD exp298 ep200, GS exp300 ep145, GS-2 exp301 ep95.</t>
  </si>
  <si>
    <t xml:space="preserve">Dublin 18:00 rerouted v2, best checkpoints x 10 seeds, three arms  [PRIMARY, snapshot]; seeds 123, 124, 125, 126, 127, 128, 129, 130, 131, 132; anomaly rule (any junction &gt; 100 s in any arm): no hits</t>
  </si>
  <si>
    <t xml:space="preserve">GS (exp300) mean</t>
  </si>
  <si>
    <t xml:space="preserve">GS (exp300) s.d.</t>
  </si>
  <si>
    <t xml:space="preserve">GS-2 (exp301) mean</t>
  </si>
  <si>
    <t xml:space="preserve">GS-2 (exp301) s.d.</t>
  </si>
  <si>
    <t xml:space="preserve">GS (exp300) vs 8STD</t>
  </si>
  <si>
    <t xml:space="preserve">GS-2 (exp301) vs 8STD</t>
  </si>
  <si>
    <t xml:space="preserve">GS-2 (exp301) vs GS (exp300)</t>
  </si>
  <si>
    <t xml:space="preserve">GS (exp300) wins vs 8STD</t>
  </si>
  <si>
    <t xml:space="preserve">GS-2 (exp301) wins vs 8STD</t>
  </si>
  <si>
    <t xml:space="preserve">0/10 (ties 0)</t>
  </si>
  <si>
    <t xml:space="preserve">10/10 (ties 0)</t>
  </si>
  <si>
    <t xml:space="preserve">5/10 (ties 0)</t>
  </si>
  <si>
    <t xml:space="preserve">1/10 (ties 5)</t>
  </si>
  <si>
    <t xml:space="preserve">3/10 (ties 5)</t>
  </si>
  <si>
    <t xml:space="preserve">1 ambulance per evaluation (probe route); do not cite the mean alone</t>
  </si>
  <si>
    <t xml:space="preserve">8/10 (ties 0)</t>
  </si>
  <si>
    <t xml:space="preserve">1/10 (ties 8)</t>
  </si>
  <si>
    <t xml:space="preserve">Dublin 18:00 rerouted v2, best checkpoints x 10 seeds, three arms  [PRIMARY, snapshot]: same route &amp; departure time, ambulance vs bus probe, 10 seeds</t>
  </si>
  <si>
    <t xml:space="preserve">GS (exp300) - ambulance (probe route) - Stopped time / visit (s)</t>
  </si>
  <si>
    <t xml:space="preserve">GS (exp300) - bus (same route &amp; time) - Stopped time / visit (s)</t>
  </si>
  <si>
    <t xml:space="preserve">GS (exp300) - ambulance (probe route) - Stop events / visit</t>
  </si>
  <si>
    <t xml:space="preserve">GS (exp300) - bus (same route &amp; time) - Stop events / visit</t>
  </si>
  <si>
    <t xml:space="preserve">GS-2 (exp301) - ambulance (probe route) - Stopped time / visit (s)</t>
  </si>
  <si>
    <t xml:space="preserve">GS-2 (exp301) - bus (same route &amp; time) - Stopped time / visit (s)</t>
  </si>
  <si>
    <t xml:space="preserve">GS-2 (exp301) - ambulance (probe route) - Stop events / visit</t>
  </si>
  <si>
    <t xml:space="preserve">GS-2 (exp301) - bus (same route &amp; time) - Stop events / visit</t>
  </si>
  <si>
    <t xml:space="preserve">GS (exp300) - stopped time: evaluations with ambulance &lt; bus / ties</t>
  </si>
  <si>
    <t xml:space="preserve">GS (exp300) - stop events: evaluations with ambulance &lt; bus / ties</t>
  </si>
  <si>
    <t xml:space="preserve">GS-2 (exp301) - stopped time: evaluations with ambulance &lt; bus / ties</t>
  </si>
  <si>
    <t xml:space="preserve">GS-2 (exp301) - stop events: evaluations with ambulance &lt; bus / ties</t>
  </si>
  <si>
    <t xml:space="preserve">Dublin 18h: best checkpoints x 10 evaluation seeds (123, 124, 125, 126, 127, 128, 129, 130, 131, 132); Protocol A; rerouted scenario v2 (Aungier right-turn cars leave at the approach end), GS on the split-slot enumerated net; SNAPSHOT: exp300 still training</t>
  </si>
  <si>
    <t xml:space="preserve">Source: experiments/analysis/figures/main_comparison_18h_best10seeds_reroute_v2_2026-09-30_en.json (same data as the PNG of that name); anomalous seeds (symmetric rule): none; Tukey outlier seeds: none</t>
  </si>
  <si>
    <t xml:space="preserve">Dublin 18:00, rerouted scenario v2, best checkpoints x 10 seeds, two arms (8STD: exp298 ep200, GS-ENUM: exp300 ep145); anomaly rule (&gt;100 s): no hits  [reference: same data as the PNG]</t>
  </si>
  <si>
    <t xml:space="preserve">Dublin 18:00 rerouted v2: same route &amp; departure time, ambulance vs bus probe, best checkpoints, 10 seeds</t>
  </si>
  <si>
    <t xml:space="preserve">Dublin 18h: best checkpoints x 5 evaluation seeds (123, 126, 128, 131, 132); Protocol A, USER-SELECTED: 5 seeds with zero ambulance stops in both arms</t>
  </si>
  <si>
    <t xml:space="preserve">Source: experiments/analysis/figures/main_comparison_18h_best10seeds_reroute_v2_SELECTED_ambzero5_2026-09-30_en.json (same data as the PNG of that name); anomalous seeds (symmetric rule): none; Tukey outlier seeds: none</t>
  </si>
  <si>
    <t xml:space="preserve">Dublin 18:00, rerouted scenario v2, 5 seeds with zero ambulance stops in both arms (123, 126, 128, 131, 132)  [USER-SELECTED]</t>
  </si>
  <si>
    <t xml:space="preserve">0/5</t>
  </si>
  <si>
    <t xml:space="preserve">Dublin 18h: best checkpoints x 10 evaluation seeds (123, 124, 125, 126, 127, 128, 129, 130, 131, 132); Protocol A, ORIGINAL 18h scenario (exogenous Aungier/Peter's Row yield lock present), best checkpoints exp289 ep270 / exp290 ep75 (reference)</t>
  </si>
  <si>
    <t xml:space="preserve">Source: experiments/analysis/figures/main_comparison_18h_best10seeds_2026-09-30_en.json (same data as the PNG of that name); anomalous seeds (symmetric rule): [124, 125, 127, 128, 130, 131, 132]; Tukey outlier seeds: none</t>
  </si>
  <si>
    <t xml:space="preserve">Dublin 18:00, ORIGINAL scenario, best checkpoints x 10 seeds (8STD: exp289 ep270, GS-ENUM: exp290 ep75)  [reference]</t>
  </si>
  <si>
    <t xml:space="preserve">4/10</t>
  </si>
  <si>
    <t xml:space="preserve">Dublin 18:00, ORIGINAL scenario, excl. 7 anomalous seeds (any junction &gt; 100 s in either arm: 124, 125, 127, 128, 130, 131, 132), 3 seeds  [reference]</t>
  </si>
  <si>
    <t xml:space="preserve">2/3</t>
  </si>
  <si>
    <t xml:space="preserve">3/3</t>
  </si>
  <si>
    <t xml:space="preserve">Dublin 18:00 ORIGINAL scenario: same route &amp; departure time, ambulance vs bus probe, best checkpoints, 10 seeds [reference]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</si>
</sst>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\+0%;\-0%;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9D3DF"/>
        <bgColor rgb="FFCFE9CF"/>
      </patternFill>
    </fill>
    <fill>
      <patternFill patternType="solid">
        <fgColor rgb="FFE3E8EF"/>
        <bgColor rgb="FFCFE9CF"/>
      </patternFill>
    </fill>
    <fill>
      <patternFill patternType="solid">
        <fgColor rgb="FFCFE9CF"/>
        <bgColor rgb="FFE3E8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3E8EF"/>
      <rgbColor rgb="FF660066"/>
      <rgbColor rgb="FFFF8080"/>
      <rgbColor rgb="FF0066CC"/>
      <rgbColor rgb="FFC9D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9C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9"/>
    <col collapsed="false" customWidth="true" hidden="false" outlineLevel="0" max="11" min="3" style="0" width="20"/>
  </cols>
  <sheetData>
    <row r="1" customFormat="false" ht="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3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3" t="s">
        <v>20</v>
      </c>
      <c r="I2" s="4" t="s">
        <v>21</v>
      </c>
      <c r="J2" s="4" t="s">
        <v>22</v>
      </c>
      <c r="K2" s="4" t="s">
        <v>23</v>
      </c>
    </row>
    <row r="3" customFormat="false" ht="15" hidden="false" customHeight="false" outlineLevel="0" collapsed="false">
      <c r="A3" s="5" t="s">
        <v>24</v>
      </c>
      <c r="B3" s="6" t="s">
        <v>25</v>
      </c>
      <c r="C3" s="7" t="n">
        <f aca="false">1x1!B9</f>
        <v>30.8662898334041</v>
      </c>
      <c r="D3" s="7" t="n">
        <f aca="false">1x1!D9</f>
        <v>33.394747097841</v>
      </c>
      <c r="E3" s="8" t="n">
        <f aca="false">IF(C3=0,"",D3/C3-1)</f>
        <v>0.0819164622014443</v>
      </c>
      <c r="F3" s="7" t="n">
        <f aca="false">1x1!B10</f>
        <v>31.809305222372</v>
      </c>
      <c r="G3" s="7" t="n">
        <f aca="false">1x1!D10</f>
        <v>34.4078950359389</v>
      </c>
      <c r="H3" s="9" t="n">
        <f aca="false">IF(F3=0,"",G3/F3-1)</f>
        <v>0.0816927561102245</v>
      </c>
      <c r="I3" s="6" t="str">
        <f aca="false">1x1!G10</f>
        <v>1/10</v>
      </c>
      <c r="J3" s="6" t="str">
        <f aca="false">1x1!B11</f>
        <v>pass</v>
      </c>
      <c r="K3" s="6" t="str">
        <f aca="false">1x1!D11</f>
        <v>pass</v>
      </c>
    </row>
    <row r="4" customFormat="false" ht="15" hidden="false" customHeight="false" outlineLevel="0" collapsed="false">
      <c r="A4" s="5" t="s">
        <v>26</v>
      </c>
      <c r="B4" s="6" t="s">
        <v>25</v>
      </c>
      <c r="C4" s="7" t="n">
        <f aca="false">1x1!B24</f>
        <v>30.3949575643627</v>
      </c>
      <c r="D4" s="7" t="n">
        <f aca="false">1x1!D24</f>
        <v>33.8349277732558</v>
      </c>
      <c r="E4" s="8" t="n">
        <f aca="false">IF(C4=0,"",D4/C4-1)</f>
        <v>0.113175687171426</v>
      </c>
      <c r="F4" s="7" t="n">
        <f aca="false">1x1!B25</f>
        <v>31.3218402715384</v>
      </c>
      <c r="G4" s="7" t="n">
        <f aca="false">1x1!D25</f>
        <v>34.8518232504742</v>
      </c>
      <c r="H4" s="9" t="n">
        <f aca="false">IF(F4=0,"",G4/F4-1)</f>
        <v>0.112700369720723</v>
      </c>
      <c r="I4" s="6" t="str">
        <f aca="false">1x1!G25</f>
        <v>0/9</v>
      </c>
      <c r="J4" s="6" t="str">
        <f aca="false">1x1!B26</f>
        <v>pass</v>
      </c>
      <c r="K4" s="6" t="str">
        <f aca="false">1x1!D26</f>
        <v>pass</v>
      </c>
    </row>
    <row r="5" customFormat="false" ht="15" hidden="false" customHeight="false" outlineLevel="0" collapsed="false">
      <c r="A5" s="5" t="s">
        <v>27</v>
      </c>
      <c r="B5" s="6" t="s">
        <v>25</v>
      </c>
      <c r="C5" s="7" t="n">
        <f aca="false">1x3!B9</f>
        <v>23.7536031177601</v>
      </c>
      <c r="D5" s="7" t="n">
        <f aca="false">1x3!D9</f>
        <v>27.5358338335295</v>
      </c>
      <c r="E5" s="8" t="n">
        <f aca="false">IF(C5=0,"",D5/C5-1)</f>
        <v>0.159227663147301</v>
      </c>
      <c r="F5" s="7" t="n">
        <f aca="false">1x3!B10</f>
        <v>24.792079465177</v>
      </c>
      <c r="G5" s="7" t="n">
        <f aca="false">1x3!D10</f>
        <v>28.8905368290716</v>
      </c>
      <c r="H5" s="9" t="n">
        <f aca="false">IF(F5=0,"",G5/F5-1)</f>
        <v>0.165313174703693</v>
      </c>
      <c r="I5" s="6" t="str">
        <f aca="false">1x3!G10</f>
        <v>0/10</v>
      </c>
      <c r="J5" s="6" t="str">
        <f aca="false">1x3!B11</f>
        <v>pass</v>
      </c>
      <c r="K5" s="6" t="str">
        <f aca="false">1x3!D11</f>
        <v>pass</v>
      </c>
    </row>
    <row r="6" customFormat="false" ht="15" hidden="false" customHeight="false" outlineLevel="0" collapsed="false">
      <c r="A6" s="5" t="s">
        <v>28</v>
      </c>
      <c r="B6" s="6" t="s">
        <v>25</v>
      </c>
      <c r="C6" s="7" t="n">
        <f aca="false">'Dublin 02h'!B9</f>
        <v>0.759914434999951</v>
      </c>
      <c r="D6" s="7" t="n">
        <f aca="false">'Dublin 02h'!D9</f>
        <v>0.657314845890638</v>
      </c>
      <c r="E6" s="8" t="n">
        <f aca="false">IF(C6=0,"",D6/C6-1)</f>
        <v>-0.135014660050929</v>
      </c>
      <c r="F6" s="7" t="n">
        <f aca="false">'Dublin 02h'!B10</f>
        <v>0.770377529184126</v>
      </c>
      <c r="G6" s="7" t="n">
        <f aca="false">'Dublin 02h'!D10</f>
        <v>0.666410345436376</v>
      </c>
      <c r="H6" s="9" t="n">
        <f aca="false">IF(F6=0,"",G6/F6-1)</f>
        <v>-0.134956147874481</v>
      </c>
      <c r="I6" s="6" t="str">
        <f aca="false">'Dublin 02h'!G10</f>
        <v>9/10</v>
      </c>
      <c r="J6" s="6" t="str">
        <f aca="false">'Dublin 02h'!B11</f>
        <v>pass</v>
      </c>
      <c r="K6" s="6" t="str">
        <f aca="false">'Dublin 02h'!D11</f>
        <v>pass</v>
      </c>
    </row>
    <row r="7" customFormat="false" ht="15" hidden="false" customHeight="false" outlineLevel="0" collapsed="false">
      <c r="A7" s="5" t="s">
        <v>29</v>
      </c>
      <c r="B7" s="6" t="s">
        <v>25</v>
      </c>
      <c r="C7" s="7" t="n">
        <f aca="false">'Dublin 11h'!B9</f>
        <v>2.67921871733148</v>
      </c>
      <c r="D7" s="7" t="n">
        <f aca="false">'Dublin 11h'!D9</f>
        <v>1.95467515661745</v>
      </c>
      <c r="E7" s="8" t="n">
        <f aca="false">IF(C7=0,"",D7/C7-1)</f>
        <v>-0.270430911827787</v>
      </c>
      <c r="F7" s="7" t="n">
        <f aca="false">'Dublin 11h'!B10</f>
        <v>2.79027457863489</v>
      </c>
      <c r="G7" s="7" t="n">
        <f aca="false">'Dublin 11h'!D10</f>
        <v>2.05471571023817</v>
      </c>
      <c r="H7" s="9" t="n">
        <f aca="false">IF(F7=0,"",G7/F7-1)</f>
        <v>-0.263615227701564</v>
      </c>
      <c r="I7" s="6" t="str">
        <f aca="false">'Dublin 11h'!G10</f>
        <v>8/8</v>
      </c>
      <c r="J7" s="6" t="str">
        <f aca="false">'Dublin 11h'!B11</f>
        <v>pass</v>
      </c>
      <c r="K7" s="6" t="str">
        <f aca="false">'Dublin 11h'!D11</f>
        <v>pass</v>
      </c>
    </row>
    <row r="8" customFormat="false" ht="15" hidden="false" customHeight="false" outlineLevel="0" collapsed="false">
      <c r="A8" s="5" t="s">
        <v>30</v>
      </c>
      <c r="B8" s="6" t="s">
        <v>25</v>
      </c>
      <c r="C8" s="7" t="n">
        <f aca="false">'Dublin 11h'!B43</f>
        <v>2.65781293270989</v>
      </c>
      <c r="D8" s="7" t="n">
        <f aca="false">'Dublin 11h'!D43</f>
        <v>1.92889250624194</v>
      </c>
      <c r="E8" s="8" t="n">
        <f aca="false">IF(C8=0,"",D8/C8-1)</f>
        <v>-0.274255730152066</v>
      </c>
      <c r="F8" s="7" t="n">
        <f aca="false">'Dublin 11h'!B44</f>
        <v>2.76959314951954</v>
      </c>
      <c r="G8" s="7" t="n">
        <f aca="false">'Dublin 11h'!D44</f>
        <v>2.02964186697718</v>
      </c>
      <c r="H8" s="9" t="n">
        <f aca="false">IF(F8=0,"",G8/F8-1)</f>
        <v>-0.267169668104763</v>
      </c>
      <c r="I8" s="6" t="str">
        <f aca="false">'Dublin 11h'!G44</f>
        <v>10/10</v>
      </c>
      <c r="J8" s="6" t="str">
        <f aca="false">'Dublin 11h'!B45</f>
        <v>pass (tol. 5 s)</v>
      </c>
      <c r="K8" s="6" t="str">
        <f aca="false">'Dublin 11h'!D45</f>
        <v>pass</v>
      </c>
    </row>
    <row r="9" customFormat="false" ht="15" hidden="false" customHeight="false" outlineLevel="0" collapsed="false">
      <c r="A9" s="5" t="s">
        <v>31</v>
      </c>
      <c r="B9" s="6" t="s">
        <v>32</v>
      </c>
      <c r="C9" s="7" t="n">
        <f aca="false">'Dublin 11h'!B59</f>
        <v>4.75</v>
      </c>
      <c r="D9" s="7" t="n">
        <f aca="false">'Dublin 11h'!D59</f>
        <v>2.38</v>
      </c>
      <c r="E9" s="8" t="n">
        <f aca="false">IF(C9=0,"",D9/C9-1)</f>
        <v>-0.498947368421053</v>
      </c>
      <c r="F9" s="7" t="n">
        <f aca="false">'Dublin 11h'!B60</f>
        <v>4.89</v>
      </c>
      <c r="G9" s="7" t="n">
        <f aca="false">'Dublin 11h'!D60</f>
        <v>2.48</v>
      </c>
      <c r="H9" s="9" t="n">
        <f aca="false">IF(F9=0,"",G9/F9-1)</f>
        <v>-0.492842535787321</v>
      </c>
      <c r="I9" s="6" t="str">
        <f aca="false">'Dublin 11h'!G60</f>
        <v>40/40</v>
      </c>
      <c r="J9" s="6" t="str">
        <f aca="false">'Dublin 11h'!B61</f>
        <v>pass</v>
      </c>
      <c r="K9" s="6" t="str">
        <f aca="false">'Dublin 11h'!D61</f>
        <v>pass</v>
      </c>
    </row>
    <row r="10" customFormat="false" ht="15" hidden="false" customHeight="false" outlineLevel="0" collapsed="false">
      <c r="A10" s="5" t="s">
        <v>33</v>
      </c>
      <c r="B10" s="6" t="s">
        <v>25</v>
      </c>
      <c r="C10" s="7" t="n">
        <f aca="false">'Dublin 18h'!B49</f>
        <v>3.60388839569416</v>
      </c>
      <c r="D10" s="7" t="n">
        <f aca="false">'Dublin 18h'!D49</f>
        <v>5.68308025928241</v>
      </c>
      <c r="E10" s="8" t="n">
        <f aca="false">IF(C10=0,"",D10/C10-1)</f>
        <v>0.57693014746861</v>
      </c>
      <c r="F10" s="7" t="n">
        <f aca="false">'Dublin 18h'!B50</f>
        <v>3.7211635599533</v>
      </c>
      <c r="G10" s="7" t="n">
        <f aca="false">'Dublin 18h'!D50</f>
        <v>5.81875981677413</v>
      </c>
      <c r="H10" s="9" t="n">
        <f aca="false">IF(F10=0,"",G10/F10-1)</f>
        <v>0.563693646631095</v>
      </c>
      <c r="I10" s="6" t="str">
        <f aca="false">'Dublin 18h'!G50</f>
        <v>0/10</v>
      </c>
      <c r="J10" s="6" t="str">
        <f aca="false">'Dublin 18h'!B51</f>
        <v>pass</v>
      </c>
      <c r="K10" s="6" t="str">
        <f aca="false">'Dublin 18h'!D51</f>
        <v>pass (tol. 5 s)</v>
      </c>
    </row>
    <row r="11" customFormat="false" ht="15" hidden="false" customHeight="false" outlineLevel="0" collapsed="false">
      <c r="A11" s="5" t="s">
        <v>34</v>
      </c>
      <c r="B11" s="6" t="s">
        <v>25</v>
      </c>
      <c r="C11" s="7" t="n">
        <f aca="false">'Dublin 18h'!B83</f>
        <v>3.57058104695067</v>
      </c>
      <c r="D11" s="7" t="n">
        <f aca="false">'Dublin 18h'!D83</f>
        <v>5.69847219496105</v>
      </c>
      <c r="E11" s="8" t="n">
        <f aca="false">IF(C11=0,"",D11/C11-1)</f>
        <v>0.595950944686616</v>
      </c>
      <c r="F11" s="7" t="n">
        <f aca="false">'Dublin 18h'!B84</f>
        <v>3.68644022817255</v>
      </c>
      <c r="G11" s="7" t="n">
        <f aca="false">'Dublin 18h'!D84</f>
        <v>5.8267038914822</v>
      </c>
      <c r="H11" s="9" t="n">
        <f aca="false">IF(F11=0,"",G11/F11-1)</f>
        <v>0.580577340425405</v>
      </c>
      <c r="I11" s="6" t="str">
        <f aca="false">'Dublin 18h'!G84</f>
        <v>0/5</v>
      </c>
      <c r="J11" s="6" t="str">
        <f aca="false">'Dublin 18h'!B85</f>
        <v>pass</v>
      </c>
      <c r="K11" s="6" t="str">
        <f aca="false">'Dublin 18h'!D85</f>
        <v>pass</v>
      </c>
    </row>
    <row r="12" customFormat="false" ht="15" hidden="false" customHeight="false" outlineLevel="0" collapsed="false">
      <c r="A12" s="5" t="s">
        <v>35</v>
      </c>
      <c r="B12" s="6" t="s">
        <v>25</v>
      </c>
      <c r="C12" s="7" t="n">
        <f aca="false">'Dublin 18h'!B102</f>
        <v>16.2028073110655</v>
      </c>
      <c r="D12" s="7" t="n">
        <f aca="false">'Dublin 18h'!D102</f>
        <v>16.550201957309</v>
      </c>
      <c r="E12" s="8" t="n">
        <f aca="false">IF(C12=0,"",D12/C12-1)</f>
        <v>0.021440398541694</v>
      </c>
      <c r="F12" s="7" t="n">
        <f aca="false">'Dublin 18h'!B103</f>
        <v>17.0011187356766</v>
      </c>
      <c r="G12" s="7" t="n">
        <f aca="false">'Dublin 18h'!D103</f>
        <v>17.2651837725786</v>
      </c>
      <c r="H12" s="9" t="n">
        <f aca="false">IF(F12=0,"",G12/F12-1)</f>
        <v>0.0155322153210906</v>
      </c>
      <c r="I12" s="6" t="str">
        <f aca="false">'Dublin 18h'!G103</f>
        <v>4/10</v>
      </c>
      <c r="J12" s="6" t="str">
        <f aca="false">'Dublin 18h'!B104</f>
        <v>fail</v>
      </c>
      <c r="K12" s="6" t="str">
        <f aca="false">'Dublin 18h'!D104</f>
        <v>fail</v>
      </c>
    </row>
    <row r="13" customFormat="false" ht="15" hidden="false" customHeight="false" outlineLevel="0" collapsed="false">
      <c r="A13" s="5" t="s">
        <v>36</v>
      </c>
      <c r="B13" s="6" t="s">
        <v>25</v>
      </c>
      <c r="C13" s="7" t="n">
        <f aca="false">'Dublin 18h'!B117</f>
        <v>15.3494260371416</v>
      </c>
      <c r="D13" s="7" t="n">
        <f aca="false">'Dublin 18h'!D117</f>
        <v>13.2976366987359</v>
      </c>
      <c r="E13" s="8" t="n">
        <f aca="false">IF(C13=0,"",D13/C13-1)</f>
        <v>-0.133672056104306</v>
      </c>
      <c r="F13" s="7" t="n">
        <f aca="false">'Dublin 18h'!B118</f>
        <v>16.0787040385087</v>
      </c>
      <c r="G13" s="7" t="n">
        <f aca="false">'Dublin 18h'!D118</f>
        <v>13.759763195124</v>
      </c>
      <c r="H13" s="9" t="n">
        <f aca="false">IF(F13=0,"",G13/F13-1)</f>
        <v>-0.144224362724185</v>
      </c>
      <c r="I13" s="6" t="str">
        <f aca="false">'Dublin 18h'!G118</f>
        <v>2/3</v>
      </c>
      <c r="J13" s="6" t="str">
        <f aca="false">'Dublin 18h'!B119</f>
        <v>pass</v>
      </c>
      <c r="K13" s="6" t="str">
        <f aca="false">'Dublin 18h'!D119</f>
        <v>pass</v>
      </c>
    </row>
    <row r="15" customFormat="false" ht="15" hidden="false" customHeight="false" outlineLevel="0" collapsed="false">
      <c r="A15" s="1" t="s">
        <v>37</v>
      </c>
    </row>
    <row r="16" customFormat="false" ht="15" hidden="false" customHeight="false" outlineLevel="0" collapsed="false">
      <c r="A16" s="3" t="s">
        <v>38</v>
      </c>
      <c r="B16" s="4" t="s">
        <v>14</v>
      </c>
      <c r="C16" s="4" t="s">
        <v>39</v>
      </c>
      <c r="D16" s="4" t="s">
        <v>40</v>
      </c>
      <c r="E16" s="4" t="s">
        <v>41</v>
      </c>
      <c r="F16" s="4" t="s">
        <v>42</v>
      </c>
      <c r="G16" s="4" t="s">
        <v>43</v>
      </c>
      <c r="H16" s="3" t="s">
        <v>44</v>
      </c>
      <c r="I16" s="4" t="s">
        <v>45</v>
      </c>
      <c r="J16" s="4" t="s">
        <v>46</v>
      </c>
      <c r="K16" s="4" t="s">
        <v>21</v>
      </c>
      <c r="L16" s="4" t="s">
        <v>47</v>
      </c>
    </row>
    <row r="17" customFormat="false" ht="15" hidden="false" customHeight="false" outlineLevel="0" collapsed="false">
      <c r="A17" s="5" t="s">
        <v>48</v>
      </c>
      <c r="B17" s="6" t="s">
        <v>25</v>
      </c>
      <c r="C17" s="7" t="n">
        <f aca="false">'Dublin 18h'!B9</f>
        <v>3.60388839569416</v>
      </c>
      <c r="D17" s="7" t="n">
        <f aca="false">'Dublin 18h'!D9</f>
        <v>5.68308025928241</v>
      </c>
      <c r="E17" s="7" t="n">
        <f aca="false">'Dublin 18h'!F9</f>
        <v>3.05216444071164</v>
      </c>
      <c r="F17" s="8" t="n">
        <f aca="false">IF(C17=0,"",D17/C17-1)</f>
        <v>0.57693014746861</v>
      </c>
      <c r="G17" s="8" t="n">
        <f aca="false">IF(C17=0,"",E17/C17-1)</f>
        <v>-0.153091298732144</v>
      </c>
      <c r="H17" s="10" t="n">
        <f aca="false">'Dublin 18h'!B10</f>
        <v>3.7211635599533</v>
      </c>
      <c r="I17" s="7" t="n">
        <f aca="false">'Dublin 18h'!D10</f>
        <v>5.81875981677413</v>
      </c>
      <c r="J17" s="7" t="n">
        <f aca="false">'Dublin 18h'!F10</f>
        <v>3.18882418536163</v>
      </c>
      <c r="K17" s="6" t="str">
        <f aca="false">'Dublin 18h'!K10</f>
        <v>0/10</v>
      </c>
      <c r="L17" s="6" t="str">
        <f aca="false">'Dublin 18h'!L10</f>
        <v>10/10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6"/>
    <col collapsed="false" customWidth="true" hidden="false" outlineLevel="0" max="8" min="8" style="0" width="62"/>
  </cols>
  <sheetData>
    <row r="1" customFormat="false" ht="15" hidden="false" customHeight="false" outlineLevel="0" collapsed="false">
      <c r="A1" s="1" t="s">
        <v>49</v>
      </c>
    </row>
    <row r="2" customFormat="false" ht="15" hidden="false" customHeight="false" outlineLevel="0" collapsed="false">
      <c r="A2" s="11" t="s">
        <v>50</v>
      </c>
    </row>
    <row r="4" customFormat="false" ht="15" hidden="false" customHeight="false" outlineLevel="0" collapsed="false">
      <c r="A4" s="12" t="s">
        <v>51</v>
      </c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3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3" t="s">
        <v>59</v>
      </c>
    </row>
    <row r="6" customFormat="false" ht="15" hidden="false" customHeight="false" outlineLevel="0" collapsed="false">
      <c r="A6" s="5" t="s">
        <v>60</v>
      </c>
      <c r="B6" s="13" t="n">
        <v>32.2318059299191</v>
      </c>
      <c r="C6" s="7" t="n">
        <v>1.67697665761359</v>
      </c>
      <c r="D6" s="7" t="n">
        <v>34.883423180593</v>
      </c>
      <c r="E6" s="7" t="n">
        <v>2.31821022592097</v>
      </c>
      <c r="F6" s="8" t="n">
        <f aca="false">IF(B6=0,"",D6/B6-1)</f>
        <v>0.0822671015219938</v>
      </c>
      <c r="G6" s="6"/>
      <c r="H6" s="5"/>
    </row>
    <row r="7" customFormat="false" ht="15" hidden="false" customHeight="false" outlineLevel="0" collapsed="false">
      <c r="A7" s="5" t="s">
        <v>61</v>
      </c>
      <c r="B7" s="13" t="n">
        <v>6.7625</v>
      </c>
      <c r="C7" s="7" t="n">
        <v>0.884678613961025</v>
      </c>
      <c r="D7" s="7" t="n">
        <v>7.15</v>
      </c>
      <c r="E7" s="7" t="n">
        <v>0.566789202437732</v>
      </c>
      <c r="F7" s="8" t="n">
        <f aca="false">IF(B7=0,"",D7/B7-1)</f>
        <v>0.0573012939001849</v>
      </c>
      <c r="G7" s="6"/>
      <c r="H7" s="5"/>
    </row>
    <row r="8" customFormat="false" ht="15" hidden="false" customHeight="false" outlineLevel="0" collapsed="false">
      <c r="A8" s="5" t="s">
        <v>62</v>
      </c>
      <c r="B8" s="13" t="n">
        <v>4.25</v>
      </c>
      <c r="C8" s="7" t="n">
        <v>3.25853579933619</v>
      </c>
      <c r="D8" s="7" t="n">
        <v>4.41666666666667</v>
      </c>
      <c r="E8" s="7" t="n">
        <v>3.25</v>
      </c>
      <c r="F8" s="8" t="n">
        <f aca="false">IF(B8=0,"",D8/B8-1)</f>
        <v>0.0392156862745099</v>
      </c>
      <c r="G8" s="6"/>
      <c r="H8" s="5" t="s">
        <v>63</v>
      </c>
    </row>
    <row r="9" customFormat="false" ht="15" hidden="false" customHeight="false" outlineLevel="0" collapsed="false">
      <c r="A9" s="5" t="s">
        <v>64</v>
      </c>
      <c r="B9" s="13" t="n">
        <v>30.8662898334041</v>
      </c>
      <c r="C9" s="7" t="n">
        <v>1.59098157904458</v>
      </c>
      <c r="D9" s="7" t="n">
        <v>33.394747097841</v>
      </c>
      <c r="E9" s="7" t="n">
        <v>2.20568799144075</v>
      </c>
      <c r="F9" s="8" t="n">
        <f aca="false">IF(B9=0,"",D9/B9-1)</f>
        <v>0.0819164622014443</v>
      </c>
      <c r="G9" s="6"/>
      <c r="H9" s="5"/>
    </row>
    <row r="10" customFormat="false" ht="15" hidden="false" customHeight="false" outlineLevel="0" collapsed="false">
      <c r="A10" s="5" t="s">
        <v>65</v>
      </c>
      <c r="B10" s="13" t="n">
        <v>31.809305222372</v>
      </c>
      <c r="C10" s="7" t="n">
        <v>1.64824754152962</v>
      </c>
      <c r="D10" s="7" t="n">
        <v>34.4078950359389</v>
      </c>
      <c r="E10" s="7" t="n">
        <v>2.24269863226818</v>
      </c>
      <c r="F10" s="8" t="n">
        <f aca="false">IF(B10=0,"",D10/B10-1)</f>
        <v>0.0816927561102245</v>
      </c>
      <c r="G10" s="6" t="s">
        <v>66</v>
      </c>
      <c r="H10" s="5"/>
    </row>
    <row r="11" customFormat="false" ht="15" hidden="false" customHeight="false" outlineLevel="0" collapsed="false">
      <c r="A11" s="5" t="s">
        <v>67</v>
      </c>
      <c r="B11" s="6" t="str">
        <f aca="false">IF(AND(B8&lt;=B7,B7&lt;=B6),"pass",IF(AND(B8-B7&lt;=5,B7-B6&lt;=5),"pass (tol. 5 s)","fail"))</f>
        <v>pass</v>
      </c>
      <c r="C11" s="6"/>
      <c r="D11" s="6" t="str">
        <f aca="false">IF(AND(D8&lt;=D7,D7&lt;=D6),"pass",IF(AND(D8-D7&lt;=5,D7-D6&lt;=5),"pass (tol. 5 s)","fail"))</f>
        <v>pass</v>
      </c>
      <c r="E11" s="6"/>
      <c r="F11" s="6"/>
      <c r="G11" s="6"/>
      <c r="H11" s="5" t="s">
        <v>68</v>
      </c>
    </row>
    <row r="12" customFormat="false" ht="15" hidden="false" customHeight="false" outlineLevel="0" collapsed="false">
      <c r="A12" s="5" t="s">
        <v>69</v>
      </c>
      <c r="B12" s="13" t="n">
        <v>1.12789757412399</v>
      </c>
      <c r="C12" s="7" t="n">
        <v>0.03712173572743</v>
      </c>
      <c r="D12" s="7" t="n">
        <v>1.23099730458221</v>
      </c>
      <c r="E12" s="7" t="n">
        <v>0.0589526753851168</v>
      </c>
      <c r="F12" s="8" t="n">
        <f aca="false">IF(B12=0,"",D12/B12-1)</f>
        <v>0.0914087704624209</v>
      </c>
      <c r="G12" s="6"/>
      <c r="H12" s="5"/>
    </row>
    <row r="13" customFormat="false" ht="15" hidden="false" customHeight="false" outlineLevel="0" collapsed="false">
      <c r="A13" s="5" t="s">
        <v>70</v>
      </c>
      <c r="B13" s="7" t="n">
        <v>0.8325</v>
      </c>
      <c r="C13" s="7" t="n">
        <v>0.0851836251870041</v>
      </c>
      <c r="D13" s="13" t="n">
        <v>0.77</v>
      </c>
      <c r="E13" s="7" t="n">
        <v>0.06</v>
      </c>
      <c r="F13" s="8" t="n">
        <f aca="false">IF(B13=0,"",D13/B13-1)</f>
        <v>-0.0750750750750751</v>
      </c>
      <c r="G13" s="6"/>
      <c r="H13" s="5"/>
    </row>
    <row r="14" customFormat="false" ht="15" hidden="false" customHeight="false" outlineLevel="0" collapsed="false">
      <c r="A14" s="5" t="s">
        <v>71</v>
      </c>
      <c r="B14" s="13" t="n">
        <v>0.533333333333333</v>
      </c>
      <c r="C14" s="7" t="n">
        <v>0.420317340430616</v>
      </c>
      <c r="D14" s="7" t="n">
        <v>0.533333333333333</v>
      </c>
      <c r="E14" s="7" t="n">
        <v>0.392994204085053</v>
      </c>
      <c r="F14" s="8" t="n">
        <f aca="false">IF(B14=0,"",D14/B14-1)</f>
        <v>0</v>
      </c>
      <c r="G14" s="6"/>
      <c r="H14" s="5" t="s">
        <v>63</v>
      </c>
    </row>
    <row r="15" customFormat="false" ht="15" hidden="false" customHeight="false" outlineLevel="0" collapsed="false">
      <c r="A15" s="5" t="s">
        <v>72</v>
      </c>
      <c r="B15" s="13" t="n">
        <v>1.11162989392257</v>
      </c>
      <c r="C15" s="7" t="n">
        <v>0.0377623545891725</v>
      </c>
      <c r="D15" s="7" t="n">
        <v>1.20565868707832</v>
      </c>
      <c r="E15" s="7" t="n">
        <v>0.0572350231153804</v>
      </c>
      <c r="F15" s="8" t="n">
        <f aca="false">IF(B15=0,"",D15/B15-1)</f>
        <v>0.0845864200574398</v>
      </c>
      <c r="G15" s="6"/>
      <c r="H15" s="5"/>
    </row>
    <row r="16" customFormat="false" ht="15" hidden="false" customHeight="false" outlineLevel="0" collapsed="false">
      <c r="A16" s="5" t="s">
        <v>73</v>
      </c>
      <c r="B16" s="13" t="n">
        <v>1.17537199236298</v>
      </c>
      <c r="C16" s="7" t="n">
        <v>0.0410509690618944</v>
      </c>
      <c r="D16" s="7" t="n">
        <v>1.26867573225517</v>
      </c>
      <c r="E16" s="7" t="n">
        <v>0.0598382201488579</v>
      </c>
      <c r="F16" s="8" t="n">
        <f aca="false">IF(B16=0,"",D16/B16-1)</f>
        <v>0.0793823066215862</v>
      </c>
      <c r="G16" s="6" t="s">
        <v>66</v>
      </c>
      <c r="H16" s="5"/>
    </row>
    <row r="17" customFormat="false" ht="15" hidden="false" customHeight="false" outlineLevel="0" collapsed="false">
      <c r="A17" s="5" t="s">
        <v>74</v>
      </c>
      <c r="B17" s="6" t="str">
        <f aca="false">IF(AND(B14&lt;=B13,B13&lt;=B12),"pass",IF(AND(B14-B13&lt;=0.5,B13-B12&lt;=0.5),"pass (tol.)","fail"))</f>
        <v>pass</v>
      </c>
      <c r="C17" s="6"/>
      <c r="D17" s="6" t="str">
        <f aca="false">IF(AND(D14&lt;=D13,D13&lt;=D12),"pass",IF(AND(D14-D13&lt;=0.5,D13-D12&lt;=0.5),"pass (tol.)","fail"))</f>
        <v>pass</v>
      </c>
      <c r="E17" s="6"/>
      <c r="F17" s="6"/>
      <c r="G17" s="6"/>
      <c r="H17" s="5"/>
    </row>
    <row r="19" customFormat="false" ht="15" hidden="false" customHeight="false" outlineLevel="0" collapsed="false">
      <c r="A19" s="12" t="s">
        <v>75</v>
      </c>
      <c r="B19" s="12"/>
      <c r="C19" s="12"/>
      <c r="D19" s="12"/>
      <c r="E19" s="12"/>
      <c r="F19" s="12"/>
      <c r="G19" s="12"/>
      <c r="H19" s="12"/>
    </row>
    <row r="20" customFormat="false" ht="15" hidden="false" customHeight="false" outlineLevel="0" collapsed="false">
      <c r="A20" s="3" t="s">
        <v>52</v>
      </c>
      <c r="B20" s="4" t="s">
        <v>53</v>
      </c>
      <c r="C20" s="4" t="s">
        <v>54</v>
      </c>
      <c r="D20" s="4" t="s">
        <v>55</v>
      </c>
      <c r="E20" s="4" t="s">
        <v>56</v>
      </c>
      <c r="F20" s="4" t="s">
        <v>57</v>
      </c>
      <c r="G20" s="4" t="s">
        <v>58</v>
      </c>
      <c r="H20" s="3" t="s">
        <v>59</v>
      </c>
    </row>
    <row r="21" customFormat="false" ht="15" hidden="false" customHeight="false" outlineLevel="0" collapsed="false">
      <c r="A21" s="5" t="s">
        <v>60</v>
      </c>
      <c r="B21" s="13" t="n">
        <v>31.7303084755915</v>
      </c>
      <c r="C21" s="7" t="n">
        <v>0.780849565755769</v>
      </c>
      <c r="D21" s="7" t="n">
        <v>35.3451632225217</v>
      </c>
      <c r="E21" s="7" t="n">
        <v>1.95938308167578</v>
      </c>
      <c r="F21" s="8" t="n">
        <f aca="false">IF(B21=0,"",D21/B21-1)</f>
        <v>0.113924349323958</v>
      </c>
      <c r="G21" s="6"/>
      <c r="H21" s="5"/>
    </row>
    <row r="22" customFormat="false" ht="15" hidden="false" customHeight="false" outlineLevel="0" collapsed="false">
      <c r="A22" s="5" t="s">
        <v>61</v>
      </c>
      <c r="B22" s="13" t="n">
        <v>6.75</v>
      </c>
      <c r="C22" s="7" t="n">
        <v>0.931694990624912</v>
      </c>
      <c r="D22" s="7" t="n">
        <v>7.13888888888889</v>
      </c>
      <c r="E22" s="7" t="n">
        <v>0.596414182043997</v>
      </c>
      <c r="F22" s="8" t="n">
        <f aca="false">IF(B22=0,"",D22/B22-1)</f>
        <v>0.0576131687242798</v>
      </c>
      <c r="G22" s="6"/>
      <c r="H22" s="5"/>
    </row>
    <row r="23" customFormat="false" ht="15" hidden="false" customHeight="false" outlineLevel="0" collapsed="false">
      <c r="A23" s="5" t="s">
        <v>62</v>
      </c>
      <c r="B23" s="13" t="n">
        <v>3.98148148148148</v>
      </c>
      <c r="C23" s="7" t="n">
        <v>3.32818532511323</v>
      </c>
      <c r="D23" s="7" t="n">
        <v>4.35185185185185</v>
      </c>
      <c r="E23" s="7" t="n">
        <v>3.41966394678137</v>
      </c>
      <c r="F23" s="8" t="n">
        <f aca="false">IF(B23=0,"",D23/B23-1)</f>
        <v>0.0930232558139534</v>
      </c>
      <c r="G23" s="6"/>
      <c r="H23" s="5" t="s">
        <v>63</v>
      </c>
    </row>
    <row r="24" customFormat="false" ht="15" hidden="false" customHeight="false" outlineLevel="0" collapsed="false">
      <c r="A24" s="5" t="s">
        <v>64</v>
      </c>
      <c r="B24" s="13" t="n">
        <v>30.3949575643627</v>
      </c>
      <c r="C24" s="7" t="n">
        <v>0.768718568861642</v>
      </c>
      <c r="D24" s="7" t="n">
        <v>33.8349277732558</v>
      </c>
      <c r="E24" s="7" t="n">
        <v>1.86226512986162</v>
      </c>
      <c r="F24" s="8" t="n">
        <f aca="false">IF(B24=0,"",D24/B24-1)</f>
        <v>0.113175687171426</v>
      </c>
      <c r="G24" s="6"/>
      <c r="H24" s="5"/>
    </row>
    <row r="25" customFormat="false" ht="15" hidden="false" customHeight="false" outlineLevel="0" collapsed="false">
      <c r="A25" s="5" t="s">
        <v>65</v>
      </c>
      <c r="B25" s="13" t="n">
        <v>31.3218402715384</v>
      </c>
      <c r="C25" s="7" t="n">
        <v>0.801471738974796</v>
      </c>
      <c r="D25" s="7" t="n">
        <v>34.8518232504742</v>
      </c>
      <c r="E25" s="7" t="n">
        <v>1.90205935712764</v>
      </c>
      <c r="F25" s="8" t="n">
        <f aca="false">IF(B25=0,"",D25/B25-1)</f>
        <v>0.112700369720723</v>
      </c>
      <c r="G25" s="6" t="s">
        <v>76</v>
      </c>
      <c r="H25" s="5"/>
    </row>
    <row r="26" customFormat="false" ht="15" hidden="false" customHeight="false" outlineLevel="0" collapsed="false">
      <c r="A26" s="5" t="s">
        <v>67</v>
      </c>
      <c r="B26" s="6" t="str">
        <f aca="false">IF(AND(B23&lt;=B22,B22&lt;=B21),"pass",IF(AND(B23-B22&lt;=5,B22-B21&lt;=5),"pass (tol. 5 s)","fail"))</f>
        <v>pass</v>
      </c>
      <c r="C26" s="6"/>
      <c r="D26" s="6" t="str">
        <f aca="false">IF(AND(D23&lt;=D22,D22&lt;=D21),"pass",IF(AND(D23-D22&lt;=5,D22-D21&lt;=5),"pass (tol. 5 s)","fail"))</f>
        <v>pass</v>
      </c>
      <c r="E26" s="6"/>
      <c r="F26" s="6"/>
      <c r="G26" s="6"/>
      <c r="H26" s="5" t="s">
        <v>68</v>
      </c>
    </row>
    <row r="27" customFormat="false" ht="15" hidden="false" customHeight="false" outlineLevel="0" collapsed="false">
      <c r="A27" s="5" t="s">
        <v>69</v>
      </c>
      <c r="B27" s="13" t="n">
        <v>1.12144354597185</v>
      </c>
      <c r="C27" s="7" t="n">
        <v>0.0333855083152265</v>
      </c>
      <c r="D27" s="7" t="n">
        <v>1.2424378556454</v>
      </c>
      <c r="E27" s="7" t="n">
        <v>0.0505243841833636</v>
      </c>
      <c r="F27" s="8" t="n">
        <f aca="false">IF(B27=0,"",D27/B27-1)</f>
        <v>0.107891574308987</v>
      </c>
      <c r="G27" s="6"/>
      <c r="H27" s="5"/>
    </row>
    <row r="28" customFormat="false" ht="15" hidden="false" customHeight="false" outlineLevel="0" collapsed="false">
      <c r="A28" s="5" t="s">
        <v>70</v>
      </c>
      <c r="B28" s="7" t="n">
        <v>0.830555555555555</v>
      </c>
      <c r="C28" s="7" t="n">
        <v>0.0895806416477616</v>
      </c>
      <c r="D28" s="13" t="n">
        <v>0.775</v>
      </c>
      <c r="E28" s="7" t="n">
        <v>0.0612372435695794</v>
      </c>
      <c r="F28" s="8" t="n">
        <f aca="false">IF(B28=0,"",D28/B28-1)</f>
        <v>-0.0668896321070235</v>
      </c>
      <c r="G28" s="6"/>
      <c r="H28" s="5"/>
    </row>
    <row r="29" customFormat="false" ht="15" hidden="false" customHeight="false" outlineLevel="0" collapsed="false">
      <c r="A29" s="5" t="s">
        <v>71</v>
      </c>
      <c r="B29" s="13" t="n">
        <v>0.481481481481482</v>
      </c>
      <c r="C29" s="7" t="n">
        <v>0.411594643905424</v>
      </c>
      <c r="D29" s="7" t="n">
        <v>0.518518518518518</v>
      </c>
      <c r="E29" s="7" t="n">
        <v>0.411594643905424</v>
      </c>
      <c r="F29" s="8" t="n">
        <f aca="false">IF(B29=0,"",D29/B29-1)</f>
        <v>0.0769230769230769</v>
      </c>
      <c r="G29" s="6"/>
      <c r="H29" s="5" t="s">
        <v>63</v>
      </c>
    </row>
    <row r="30" customFormat="false" ht="15" hidden="false" customHeight="false" outlineLevel="0" collapsed="false">
      <c r="A30" s="5" t="s">
        <v>72</v>
      </c>
      <c r="B30" s="13" t="n">
        <v>1.10534956366486</v>
      </c>
      <c r="C30" s="7" t="n">
        <v>0.034496577782027</v>
      </c>
      <c r="D30" s="7" t="n">
        <v>1.21676159852297</v>
      </c>
      <c r="E30" s="7" t="n">
        <v>0.0490620478814297</v>
      </c>
      <c r="F30" s="8" t="n">
        <f aca="false">IF(B30=0,"",D30/B30-1)</f>
        <v>0.1007934851747</v>
      </c>
      <c r="G30" s="6"/>
      <c r="H30" s="5"/>
    </row>
    <row r="31" customFormat="false" ht="15" hidden="false" customHeight="false" outlineLevel="0" collapsed="false">
      <c r="A31" s="5" t="s">
        <v>73</v>
      </c>
      <c r="B31" s="13" t="n">
        <v>1.16851061445543</v>
      </c>
      <c r="C31" s="7" t="n">
        <v>0.0374384754528129</v>
      </c>
      <c r="D31" s="7" t="n">
        <v>1.28008493810522</v>
      </c>
      <c r="E31" s="7" t="n">
        <v>0.051737400907777</v>
      </c>
      <c r="F31" s="8" t="n">
        <f aca="false">IF(B31=0,"",D31/B31-1)</f>
        <v>0.0954842192013747</v>
      </c>
      <c r="G31" s="6" t="s">
        <v>76</v>
      </c>
      <c r="H31" s="5"/>
    </row>
    <row r="32" customFormat="false" ht="15" hidden="false" customHeight="false" outlineLevel="0" collapsed="false">
      <c r="A32" s="5" t="s">
        <v>74</v>
      </c>
      <c r="B32" s="6" t="str">
        <f aca="false">IF(AND(B29&lt;=B28,B28&lt;=B27),"pass",IF(AND(B29-B28&lt;=0.5,B28-B27&lt;=0.5),"pass (tol.)","fail"))</f>
        <v>pass</v>
      </c>
      <c r="C32" s="6"/>
      <c r="D32" s="6" t="str">
        <f aca="false">IF(AND(D29&lt;=D28,D28&lt;=D27),"pass",IF(AND(D29-D28&lt;=0.5,D28-D27&lt;=0.5),"pass (tol.)","fail"))</f>
        <v>pass</v>
      </c>
      <c r="E32" s="6"/>
      <c r="F32" s="6"/>
      <c r="G32" s="6"/>
      <c r="H32" s="5"/>
    </row>
    <row r="34" customFormat="false" ht="15" hidden="false" customHeight="false" outlineLevel="0" collapsed="false">
      <c r="A34" s="12" t="s">
        <v>77</v>
      </c>
      <c r="B34" s="12"/>
      <c r="C34" s="12"/>
      <c r="D34" s="12"/>
      <c r="E34" s="12"/>
      <c r="F34" s="12"/>
      <c r="G34" s="12"/>
      <c r="H34" s="12"/>
    </row>
    <row r="35" customFormat="false" ht="15" hidden="false" customHeight="false" outlineLevel="0" collapsed="false">
      <c r="A35" s="3" t="s">
        <v>78</v>
      </c>
      <c r="B35" s="4" t="s">
        <v>79</v>
      </c>
      <c r="C35" s="4" t="s">
        <v>80</v>
      </c>
      <c r="D35" s="4" t="s">
        <v>81</v>
      </c>
      <c r="E35" s="4" t="s">
        <v>82</v>
      </c>
      <c r="F35" s="4" t="s">
        <v>83</v>
      </c>
      <c r="G35" s="4" t="s">
        <v>84</v>
      </c>
      <c r="H35" s="3" t="s">
        <v>85</v>
      </c>
      <c r="I35" s="4" t="s">
        <v>86</v>
      </c>
      <c r="J35" s="4" t="s">
        <v>87</v>
      </c>
      <c r="K35" s="4" t="s">
        <v>88</v>
      </c>
      <c r="L35" s="4" t="s">
        <v>89</v>
      </c>
      <c r="M35" s="4" t="s">
        <v>90</v>
      </c>
    </row>
    <row r="36" customFormat="false" ht="15" hidden="false" customHeight="false" outlineLevel="0" collapsed="false">
      <c r="A36" s="5" t="s">
        <v>91</v>
      </c>
      <c r="B36" s="7" t="n">
        <v>31.7587601078167</v>
      </c>
      <c r="C36" s="7" t="n">
        <v>30.44474393531</v>
      </c>
      <c r="D36" s="7" t="n">
        <v>31.0579514824798</v>
      </c>
      <c r="E36" s="7" t="n">
        <v>32.2978436657682</v>
      </c>
      <c r="F36" s="7" t="n">
        <v>31.4487870619946</v>
      </c>
      <c r="G36" s="7" t="n">
        <v>36.7452830188679</v>
      </c>
      <c r="H36" s="10" t="n">
        <v>32.5134770889488</v>
      </c>
      <c r="I36" s="7" t="n">
        <v>32.6482479784367</v>
      </c>
      <c r="J36" s="7" t="n">
        <v>32.5741239892183</v>
      </c>
      <c r="K36" s="7" t="n">
        <v>30.8288409703504</v>
      </c>
      <c r="L36" s="7" t="n">
        <f aca="false">AVERAGE(B36:K36)</f>
        <v>32.2318059299191</v>
      </c>
      <c r="M36" s="7" t="n">
        <f aca="false">STDEV(B36:K36)</f>
        <v>1.76768860699843</v>
      </c>
    </row>
    <row r="37" customFormat="false" ht="15" hidden="false" customHeight="false" outlineLevel="0" collapsed="false">
      <c r="A37" s="5" t="s">
        <v>92</v>
      </c>
      <c r="B37" s="7" t="n">
        <v>1.0633423180593</v>
      </c>
      <c r="C37" s="7" t="n">
        <v>1.09838274932615</v>
      </c>
      <c r="D37" s="7" t="n">
        <v>1.13611859838275</v>
      </c>
      <c r="E37" s="7" t="n">
        <v>1.14959568733154</v>
      </c>
      <c r="F37" s="7" t="n">
        <v>1.09299191374663</v>
      </c>
      <c r="G37" s="7" t="n">
        <v>1.18598382749326</v>
      </c>
      <c r="H37" s="10" t="n">
        <v>1.13342318059299</v>
      </c>
      <c r="I37" s="7" t="n">
        <v>1.16846361185984</v>
      </c>
      <c r="J37" s="7" t="n">
        <v>1.09433962264151</v>
      </c>
      <c r="K37" s="7" t="n">
        <v>1.15633423180593</v>
      </c>
      <c r="L37" s="7" t="n">
        <f aca="false">AVERAGE(B37:K37)</f>
        <v>1.12789757412399</v>
      </c>
      <c r="M37" s="7" t="n">
        <f aca="false">STDEV(B37:K37)</f>
        <v>0.0391297451991753</v>
      </c>
    </row>
    <row r="38" customFormat="false" ht="15" hidden="false" customHeight="false" outlineLevel="0" collapsed="false">
      <c r="A38" s="5" t="s">
        <v>93</v>
      </c>
      <c r="B38" s="7" t="n">
        <v>5.5</v>
      </c>
      <c r="C38" s="7" t="n">
        <v>5.625</v>
      </c>
      <c r="D38" s="7" t="n">
        <v>5.75</v>
      </c>
      <c r="E38" s="7" t="n">
        <v>8.375</v>
      </c>
      <c r="F38" s="7" t="n">
        <v>6.75</v>
      </c>
      <c r="G38" s="7" t="n">
        <v>6.875</v>
      </c>
      <c r="H38" s="10" t="n">
        <v>7.5</v>
      </c>
      <c r="I38" s="7" t="n">
        <v>6.75</v>
      </c>
      <c r="J38" s="7" t="n">
        <v>6.875</v>
      </c>
      <c r="K38" s="7" t="n">
        <v>7.625</v>
      </c>
      <c r="L38" s="7" t="n">
        <f aca="false">AVERAGE(B38:K38)</f>
        <v>6.7625</v>
      </c>
      <c r="M38" s="7" t="n">
        <f aca="false">STDEV(B38:K38)</f>
        <v>0.932533139119225</v>
      </c>
    </row>
    <row r="39" customFormat="false" ht="15" hidden="false" customHeight="false" outlineLevel="0" collapsed="false">
      <c r="A39" s="5" t="s">
        <v>94</v>
      </c>
      <c r="B39" s="7" t="n">
        <v>0.675</v>
      </c>
      <c r="C39" s="7" t="n">
        <v>0.75</v>
      </c>
      <c r="D39" s="7" t="n">
        <v>0.825</v>
      </c>
      <c r="E39" s="7" t="n">
        <v>1</v>
      </c>
      <c r="F39" s="7" t="n">
        <v>0.825</v>
      </c>
      <c r="G39" s="7" t="n">
        <v>0.85</v>
      </c>
      <c r="H39" s="10" t="n">
        <v>0.775</v>
      </c>
      <c r="I39" s="7" t="n">
        <v>0.85</v>
      </c>
      <c r="J39" s="7" t="n">
        <v>0.925</v>
      </c>
      <c r="K39" s="7" t="n">
        <v>0.85</v>
      </c>
      <c r="L39" s="7" t="n">
        <f aca="false">AVERAGE(B39:K39)</f>
        <v>0.8325</v>
      </c>
      <c r="M39" s="7" t="n">
        <f aca="false">STDEV(B39:K39)</f>
        <v>0.0897914249803399</v>
      </c>
    </row>
    <row r="40" customFormat="false" ht="15" hidden="false" customHeight="false" outlineLevel="0" collapsed="false">
      <c r="A40" s="5" t="s">
        <v>95</v>
      </c>
      <c r="B40" s="7" t="n">
        <v>5</v>
      </c>
      <c r="C40" s="7" t="n">
        <v>3.33333333333333</v>
      </c>
      <c r="D40" s="7" t="n">
        <v>5</v>
      </c>
      <c r="E40" s="7" t="n">
        <v>0</v>
      </c>
      <c r="F40" s="7" t="n">
        <v>0</v>
      </c>
      <c r="G40" s="7" t="n">
        <v>6.66666666666667</v>
      </c>
      <c r="H40" s="10" t="n">
        <v>7.5</v>
      </c>
      <c r="I40" s="7" t="n">
        <v>0</v>
      </c>
      <c r="J40" s="7" t="n">
        <v>10</v>
      </c>
      <c r="K40" s="7" t="n">
        <v>5</v>
      </c>
      <c r="L40" s="7" t="n">
        <f aca="false">AVERAGE(B40:K40)</f>
        <v>4.25</v>
      </c>
      <c r="M40" s="7" t="n">
        <f aca="false">STDEV(B40:K40)</f>
        <v>3.43479832103325</v>
      </c>
    </row>
    <row r="41" customFormat="false" ht="15" hidden="false" customHeight="false" outlineLevel="0" collapsed="false">
      <c r="A41" s="5" t="s">
        <v>96</v>
      </c>
      <c r="B41" s="7" t="n">
        <v>0.5</v>
      </c>
      <c r="C41" s="7" t="n">
        <v>0.333333333333333</v>
      </c>
      <c r="D41" s="7" t="n">
        <v>0.5</v>
      </c>
      <c r="E41" s="7" t="n">
        <v>0</v>
      </c>
      <c r="F41" s="7" t="n">
        <v>0</v>
      </c>
      <c r="G41" s="7" t="n">
        <v>1</v>
      </c>
      <c r="H41" s="10" t="n">
        <v>1</v>
      </c>
      <c r="I41" s="7" t="n">
        <v>0</v>
      </c>
      <c r="J41" s="7" t="n">
        <v>1</v>
      </c>
      <c r="K41" s="7" t="n">
        <v>1</v>
      </c>
      <c r="L41" s="7" t="n">
        <f aca="false">AVERAGE(B41:K41)</f>
        <v>0.533333333333333</v>
      </c>
      <c r="M41" s="7" t="n">
        <f aca="false">STDEV(B41:K41)</f>
        <v>0.443053378608375</v>
      </c>
    </row>
    <row r="42" customFormat="false" ht="15" hidden="false" customHeight="false" outlineLevel="0" collapsed="false">
      <c r="A42" s="5" t="s">
        <v>97</v>
      </c>
      <c r="B42" s="7" t="n">
        <v>30.3507653061224</v>
      </c>
      <c r="C42" s="7" t="n">
        <v>29.0764331210191</v>
      </c>
      <c r="D42" s="7" t="n">
        <v>29.7002551020408</v>
      </c>
      <c r="E42" s="7" t="n">
        <v>31.0344827586207</v>
      </c>
      <c r="F42" s="7" t="n">
        <v>30.14687100894</v>
      </c>
      <c r="G42" s="7" t="n">
        <v>35.1082802547771</v>
      </c>
      <c r="H42" s="10" t="n">
        <v>31.1734693877551</v>
      </c>
      <c r="I42" s="7" t="n">
        <v>31.2835249042146</v>
      </c>
      <c r="J42" s="7" t="n">
        <v>31.1783439490446</v>
      </c>
      <c r="K42" s="7" t="n">
        <v>29.610472541507</v>
      </c>
      <c r="L42" s="7" t="n">
        <f aca="false">AVERAGE(B42:K42)</f>
        <v>30.8662898334041</v>
      </c>
      <c r="M42" s="7" t="n">
        <f aca="false">STDEV(B42:K42)</f>
        <v>1.67704183505069</v>
      </c>
    </row>
    <row r="43" customFormat="false" ht="15" hidden="false" customHeight="false" outlineLevel="0" collapsed="false">
      <c r="A43" s="5" t="s">
        <v>98</v>
      </c>
      <c r="B43" s="7" t="n">
        <v>1.04209183673469</v>
      </c>
      <c r="C43" s="7" t="n">
        <v>1.07770700636943</v>
      </c>
      <c r="D43" s="7" t="n">
        <v>1.11862244897959</v>
      </c>
      <c r="E43" s="7" t="n">
        <v>1.14048531289911</v>
      </c>
      <c r="F43" s="7" t="n">
        <v>1.0779054916986</v>
      </c>
      <c r="G43" s="7" t="n">
        <v>1.16815286624204</v>
      </c>
      <c r="H43" s="10" t="n">
        <v>1.11479591836735</v>
      </c>
      <c r="I43" s="7" t="n">
        <v>1.1507024265645</v>
      </c>
      <c r="J43" s="7" t="n">
        <v>1.08535031847134</v>
      </c>
      <c r="K43" s="7" t="n">
        <v>1.14048531289911</v>
      </c>
      <c r="L43" s="7" t="n">
        <f aca="false">AVERAGE(B43:K43)</f>
        <v>1.11162989392257</v>
      </c>
      <c r="M43" s="7" t="n">
        <f aca="false">STDEV(B43:K43)</f>
        <v>0.0398050167708989</v>
      </c>
    </row>
    <row r="44" customFormat="false" ht="15" hidden="false" customHeight="false" outlineLevel="0" collapsed="false">
      <c r="A44" s="5" t="s">
        <v>99</v>
      </c>
      <c r="B44" s="7" t="n">
        <v>32.243935309973</v>
      </c>
      <c r="C44" s="7" t="n">
        <v>33.4097035040431</v>
      </c>
      <c r="D44" s="7" t="n">
        <v>35.8962264150943</v>
      </c>
      <c r="E44" s="7" t="n">
        <v>37.6145552560647</v>
      </c>
      <c r="F44" s="7" t="n">
        <v>35.256064690027</v>
      </c>
      <c r="G44" s="7" t="n">
        <v>30.7277628032345</v>
      </c>
      <c r="H44" s="10" t="n">
        <v>33.4905660377359</v>
      </c>
      <c r="I44" s="7" t="n">
        <v>36.2129380053908</v>
      </c>
      <c r="J44" s="7" t="n">
        <v>38.7398921832884</v>
      </c>
      <c r="K44" s="7" t="n">
        <v>35.2425876010782</v>
      </c>
      <c r="L44" s="7" t="n">
        <f aca="false">AVERAGE(B44:K44)</f>
        <v>34.883423180593</v>
      </c>
      <c r="M44" s="7" t="n">
        <f aca="false">STDEV(B44:K44)</f>
        <v>2.4436081363346</v>
      </c>
    </row>
    <row r="45" customFormat="false" ht="15" hidden="false" customHeight="false" outlineLevel="0" collapsed="false">
      <c r="A45" s="5" t="s">
        <v>100</v>
      </c>
      <c r="B45" s="7" t="n">
        <v>1.17250673854447</v>
      </c>
      <c r="C45" s="7" t="n">
        <v>1.1711590296496</v>
      </c>
      <c r="D45" s="7" t="n">
        <v>1.28706199460916</v>
      </c>
      <c r="E45" s="7" t="n">
        <v>1.28167115902965</v>
      </c>
      <c r="F45" s="7" t="n">
        <v>1.20350404312669</v>
      </c>
      <c r="G45" s="7" t="n">
        <v>1.12803234501348</v>
      </c>
      <c r="H45" s="10" t="n">
        <v>1.22102425876011</v>
      </c>
      <c r="I45" s="7" t="n">
        <v>1.2722371967655</v>
      </c>
      <c r="J45" s="7" t="n">
        <v>1.32345013477089</v>
      </c>
      <c r="K45" s="7" t="n">
        <v>1.24932614555256</v>
      </c>
      <c r="L45" s="7" t="n">
        <f aca="false">AVERAGE(B45:K45)</f>
        <v>1.23099730458221</v>
      </c>
      <c r="M45" s="7" t="n">
        <f aca="false">STDEV(B45:K45)</f>
        <v>0.0621415761258378</v>
      </c>
    </row>
    <row r="46" customFormat="false" ht="15" hidden="false" customHeight="false" outlineLevel="0" collapsed="false">
      <c r="A46" s="5" t="s">
        <v>101</v>
      </c>
      <c r="B46" s="7" t="n">
        <v>6.125</v>
      </c>
      <c r="C46" s="7" t="n">
        <v>7.625</v>
      </c>
      <c r="D46" s="7" t="n">
        <v>6.25</v>
      </c>
      <c r="E46" s="7" t="n">
        <v>6.75</v>
      </c>
      <c r="F46" s="7" t="n">
        <v>7.5</v>
      </c>
      <c r="G46" s="7" t="n">
        <v>7.25</v>
      </c>
      <c r="H46" s="10" t="n">
        <v>7.375</v>
      </c>
      <c r="I46" s="7" t="n">
        <v>7.375</v>
      </c>
      <c r="J46" s="7" t="n">
        <v>8</v>
      </c>
      <c r="K46" s="7" t="n">
        <v>7.25</v>
      </c>
      <c r="L46" s="7" t="n">
        <f aca="false">AVERAGE(B46:K46)</f>
        <v>7.15</v>
      </c>
      <c r="M46" s="7" t="n">
        <f aca="false">STDEV(B46:K46)</f>
        <v>0.597448277631164</v>
      </c>
    </row>
    <row r="47" customFormat="false" ht="15" hidden="false" customHeight="false" outlineLevel="0" collapsed="false">
      <c r="A47" s="5" t="s">
        <v>102</v>
      </c>
      <c r="B47" s="7" t="n">
        <v>0.65</v>
      </c>
      <c r="C47" s="7" t="n">
        <v>0.75</v>
      </c>
      <c r="D47" s="7" t="n">
        <v>0.75</v>
      </c>
      <c r="E47" s="7" t="n">
        <v>0.8</v>
      </c>
      <c r="F47" s="7" t="n">
        <v>0.825</v>
      </c>
      <c r="G47" s="7" t="n">
        <v>0.725</v>
      </c>
      <c r="H47" s="10" t="n">
        <v>0.775</v>
      </c>
      <c r="I47" s="7" t="n">
        <v>0.725</v>
      </c>
      <c r="J47" s="7" t="n">
        <v>0.85</v>
      </c>
      <c r="K47" s="7" t="n">
        <v>0.85</v>
      </c>
      <c r="L47" s="7" t="n">
        <f aca="false">AVERAGE(B47:K47)</f>
        <v>0.77</v>
      </c>
      <c r="M47" s="7" t="n">
        <f aca="false">STDEV(B47:K47)</f>
        <v>0.0632455532033676</v>
      </c>
    </row>
    <row r="48" customFormat="false" ht="15" hidden="false" customHeight="false" outlineLevel="0" collapsed="false">
      <c r="A48" s="5" t="s">
        <v>103</v>
      </c>
      <c r="B48" s="7" t="n">
        <v>7.5</v>
      </c>
      <c r="C48" s="7" t="n">
        <v>6.66666666666667</v>
      </c>
      <c r="D48" s="7" t="n">
        <v>0</v>
      </c>
      <c r="E48" s="7" t="n">
        <v>10</v>
      </c>
      <c r="F48" s="7" t="n">
        <v>0</v>
      </c>
      <c r="G48" s="7" t="n">
        <v>5</v>
      </c>
      <c r="H48" s="10" t="n">
        <v>5</v>
      </c>
      <c r="I48" s="7" t="n">
        <v>5</v>
      </c>
      <c r="J48" s="7" t="n">
        <v>0</v>
      </c>
      <c r="K48" s="7" t="n">
        <v>5</v>
      </c>
      <c r="L48" s="7" t="n">
        <f aca="false">AVERAGE(B48:K48)</f>
        <v>4.41666666666667</v>
      </c>
      <c r="M48" s="7" t="n">
        <f aca="false">STDEV(B48:K48)</f>
        <v>3.42580079851574</v>
      </c>
    </row>
    <row r="49" customFormat="false" ht="15" hidden="false" customHeight="false" outlineLevel="0" collapsed="false">
      <c r="A49" s="5" t="s">
        <v>104</v>
      </c>
      <c r="B49" s="7" t="n">
        <v>0.5</v>
      </c>
      <c r="C49" s="7" t="n">
        <v>0.666666666666667</v>
      </c>
      <c r="D49" s="7" t="n">
        <v>0</v>
      </c>
      <c r="E49" s="7" t="n">
        <v>1</v>
      </c>
      <c r="F49" s="7" t="n">
        <v>0</v>
      </c>
      <c r="G49" s="7" t="n">
        <v>0.666666666666667</v>
      </c>
      <c r="H49" s="10" t="n">
        <v>0.5</v>
      </c>
      <c r="I49" s="7" t="n">
        <v>1</v>
      </c>
      <c r="J49" s="7" t="n">
        <v>0</v>
      </c>
      <c r="K49" s="7" t="n">
        <v>1</v>
      </c>
      <c r="L49" s="7" t="n">
        <f aca="false">AVERAGE(B49:K49)</f>
        <v>0.533333333333333</v>
      </c>
      <c r="M49" s="7" t="n">
        <f aca="false">STDEV(B49:K49)</f>
        <v>0.414252264051272</v>
      </c>
    </row>
    <row r="50" customFormat="false" ht="15" hidden="false" customHeight="false" outlineLevel="0" collapsed="false">
      <c r="A50" s="5" t="s">
        <v>105</v>
      </c>
      <c r="B50" s="7" t="n">
        <v>30.8482142857143</v>
      </c>
      <c r="C50" s="7" t="n">
        <v>31.9936305732484</v>
      </c>
      <c r="D50" s="7" t="n">
        <v>34.2920918367347</v>
      </c>
      <c r="E50" s="7" t="n">
        <v>36.0025542784163</v>
      </c>
      <c r="F50" s="7" t="n">
        <v>33.7931034482759</v>
      </c>
      <c r="G50" s="7" t="n">
        <v>29.4331210191083</v>
      </c>
      <c r="H50" s="10" t="n">
        <v>32.0854591836735</v>
      </c>
      <c r="I50" s="7" t="n">
        <v>34.6998722860792</v>
      </c>
      <c r="J50" s="7" t="n">
        <v>37.0254777070064</v>
      </c>
      <c r="K50" s="7" t="n">
        <v>33.7739463601533</v>
      </c>
      <c r="L50" s="7" t="n">
        <f aca="false">AVERAGE(B50:K50)</f>
        <v>33.394747097841</v>
      </c>
      <c r="M50" s="7" t="n">
        <f aca="false">STDEV(B50:K50)</f>
        <v>2.32499928687825</v>
      </c>
    </row>
    <row r="51" customFormat="false" ht="15" hidden="false" customHeight="false" outlineLevel="0" collapsed="false">
      <c r="A51" s="5" t="s">
        <v>106</v>
      </c>
      <c r="B51" s="7" t="n">
        <v>1.14413265306123</v>
      </c>
      <c r="C51" s="7" t="n">
        <v>1.14777070063694</v>
      </c>
      <c r="D51" s="7" t="n">
        <v>1.25637755102041</v>
      </c>
      <c r="E51" s="7" t="n">
        <v>1.25670498084291</v>
      </c>
      <c r="F51" s="7" t="n">
        <v>1.18263090676884</v>
      </c>
      <c r="G51" s="7" t="n">
        <v>1.10573248407643</v>
      </c>
      <c r="H51" s="10" t="n">
        <v>1.19642857142857</v>
      </c>
      <c r="I51" s="7" t="n">
        <v>1.24393358876118</v>
      </c>
      <c r="J51" s="7" t="n">
        <v>1.29426751592357</v>
      </c>
      <c r="K51" s="7" t="n">
        <v>1.22860791826309</v>
      </c>
      <c r="L51" s="7" t="n">
        <f aca="false">AVERAGE(B51:K51)</f>
        <v>1.20565868707832</v>
      </c>
      <c r="M51" s="7" t="n">
        <f aca="false">STDEV(B51:K51)</f>
        <v>0.060331011658996</v>
      </c>
    </row>
  </sheetData>
  <mergeCells count="3">
    <mergeCell ref="A4:H4"/>
    <mergeCell ref="A19:H19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6"/>
    <col collapsed="false" customWidth="true" hidden="false" outlineLevel="0" max="8" min="8" style="0" width="62"/>
  </cols>
  <sheetData>
    <row r="1" customFormat="false" ht="1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11" t="s">
        <v>108</v>
      </c>
    </row>
    <row r="4" customFormat="false" ht="15" hidden="false" customHeight="false" outlineLevel="0" collapsed="false">
      <c r="A4" s="12" t="s">
        <v>109</v>
      </c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3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3" t="s">
        <v>59</v>
      </c>
    </row>
    <row r="6" customFormat="false" ht="15" hidden="false" customHeight="false" outlineLevel="0" collapsed="false">
      <c r="A6" s="5" t="s">
        <v>60</v>
      </c>
      <c r="B6" s="13" t="n">
        <v>25.3515894955079</v>
      </c>
      <c r="C6" s="7" t="n">
        <v>1.08686829131276</v>
      </c>
      <c r="D6" s="7" t="n">
        <v>29.2124510481456</v>
      </c>
      <c r="E6" s="7" t="n">
        <v>1.11140290619775</v>
      </c>
      <c r="F6" s="8" t="n">
        <f aca="false">IF(B6=0,"",D6/B6-1)</f>
        <v>0.152292681818698</v>
      </c>
      <c r="G6" s="6"/>
      <c r="H6" s="5"/>
    </row>
    <row r="7" customFormat="false" ht="15" hidden="false" customHeight="false" outlineLevel="0" collapsed="false">
      <c r="A7" s="5" t="s">
        <v>61</v>
      </c>
      <c r="B7" s="13" t="n">
        <v>4.70416666666667</v>
      </c>
      <c r="C7" s="7" t="n">
        <v>0.541169643765551</v>
      </c>
      <c r="D7" s="7" t="n">
        <v>7.54583333333333</v>
      </c>
      <c r="E7" s="7" t="n">
        <v>0.6125</v>
      </c>
      <c r="F7" s="8" t="n">
        <f aca="false">IF(B7=0,"",D7/B7-1)</f>
        <v>0.604074402125775</v>
      </c>
      <c r="G7" s="6"/>
      <c r="H7" s="5"/>
    </row>
    <row r="8" customFormat="false" ht="15" hidden="false" customHeight="false" outlineLevel="0" collapsed="false">
      <c r="A8" s="5" t="s">
        <v>62</v>
      </c>
      <c r="B8" s="13" t="n">
        <v>1.74603174603175</v>
      </c>
      <c r="C8" s="7" t="n">
        <v>1.27479193684199</v>
      </c>
      <c r="D8" s="7" t="n">
        <v>4.88095238095238</v>
      </c>
      <c r="E8" s="7" t="n">
        <v>1.57034594741344</v>
      </c>
      <c r="F8" s="8" t="n">
        <f aca="false">IF(B8=0,"",D8/B8-1)</f>
        <v>1.79545454545454</v>
      </c>
      <c r="G8" s="6"/>
      <c r="H8" s="5" t="s">
        <v>63</v>
      </c>
    </row>
    <row r="9" customFormat="false" ht="15" hidden="false" customHeight="false" outlineLevel="0" collapsed="false">
      <c r="A9" s="5" t="s">
        <v>64</v>
      </c>
      <c r="B9" s="13" t="n">
        <v>23.7536031177601</v>
      </c>
      <c r="C9" s="7" t="n">
        <v>1.0292722593599</v>
      </c>
      <c r="D9" s="7" t="n">
        <v>27.5358338335295</v>
      </c>
      <c r="E9" s="7" t="n">
        <v>1.05400163006915</v>
      </c>
      <c r="F9" s="8" t="n">
        <f aca="false">IF(B9=0,"",D9/B9-1)</f>
        <v>0.159227663147301</v>
      </c>
      <c r="G9" s="6"/>
      <c r="H9" s="5"/>
    </row>
    <row r="10" customFormat="false" ht="15" hidden="false" customHeight="false" outlineLevel="0" collapsed="false">
      <c r="A10" s="5" t="s">
        <v>65</v>
      </c>
      <c r="B10" s="13" t="n">
        <v>24.792079465177</v>
      </c>
      <c r="C10" s="7" t="n">
        <v>1.0820955115471</v>
      </c>
      <c r="D10" s="7" t="n">
        <v>28.8905368290716</v>
      </c>
      <c r="E10" s="7" t="n">
        <v>1.12008369082717</v>
      </c>
      <c r="F10" s="8" t="n">
        <f aca="false">IF(B10=0,"",D10/B10-1)</f>
        <v>0.165313174703693</v>
      </c>
      <c r="G10" s="6" t="s">
        <v>110</v>
      </c>
      <c r="H10" s="5"/>
    </row>
    <row r="11" customFormat="false" ht="15" hidden="false" customHeight="false" outlineLevel="0" collapsed="false">
      <c r="A11" s="5" t="s">
        <v>67</v>
      </c>
      <c r="B11" s="6" t="str">
        <f aca="false">IF(AND(B8&lt;=B7,B7&lt;=B6),"pass",IF(AND(B8-B7&lt;=5,B7-B6&lt;=5),"pass (tol. 5 s)","fail"))</f>
        <v>pass</v>
      </c>
      <c r="C11" s="6"/>
      <c r="D11" s="6" t="str">
        <f aca="false">IF(AND(D8&lt;=D7,D7&lt;=D6),"pass",IF(AND(D8-D7&lt;=5,D7-D6&lt;=5),"pass (tol. 5 s)","fail"))</f>
        <v>pass</v>
      </c>
      <c r="E11" s="6"/>
      <c r="F11" s="6"/>
      <c r="G11" s="6"/>
      <c r="H11" s="5" t="s">
        <v>68</v>
      </c>
    </row>
    <row r="12" customFormat="false" ht="15" hidden="false" customHeight="false" outlineLevel="0" collapsed="false">
      <c r="A12" s="5" t="s">
        <v>69</v>
      </c>
      <c r="B12" s="13" t="n">
        <v>1.02161944252476</v>
      </c>
      <c r="C12" s="7" t="n">
        <v>0.0249980119172692</v>
      </c>
      <c r="D12" s="7" t="n">
        <v>1.09689011748445</v>
      </c>
      <c r="E12" s="7" t="n">
        <v>0.0235199601277778</v>
      </c>
      <c r="F12" s="8" t="n">
        <f aca="false">IF(B12=0,"",D12/B12-1)</f>
        <v>0.0736778019549698</v>
      </c>
      <c r="G12" s="6"/>
      <c r="H12" s="5"/>
    </row>
    <row r="13" customFormat="false" ht="15" hidden="false" customHeight="false" outlineLevel="0" collapsed="false">
      <c r="A13" s="5" t="s">
        <v>70</v>
      </c>
      <c r="B13" s="13" t="n">
        <v>0.624166666666667</v>
      </c>
      <c r="C13" s="7" t="n">
        <v>0.0615144517798686</v>
      </c>
      <c r="D13" s="7" t="n">
        <v>0.815</v>
      </c>
      <c r="E13" s="7" t="n">
        <v>0.0357071421427142</v>
      </c>
      <c r="F13" s="8" t="n">
        <f aca="false">IF(B13=0,"",D13/B13-1)</f>
        <v>0.305740987983979</v>
      </c>
      <c r="G13" s="6"/>
      <c r="H13" s="5"/>
    </row>
    <row r="14" customFormat="false" ht="15" hidden="false" customHeight="false" outlineLevel="0" collapsed="false">
      <c r="A14" s="5" t="s">
        <v>71</v>
      </c>
      <c r="B14" s="13" t="n">
        <v>0.285714285714286</v>
      </c>
      <c r="C14" s="7" t="n">
        <v>0.21295885499998</v>
      </c>
      <c r="D14" s="7" t="n">
        <v>0.587301587301587</v>
      </c>
      <c r="E14" s="7" t="n">
        <v>0.225876975726313</v>
      </c>
      <c r="F14" s="8" t="n">
        <f aca="false">IF(B14=0,"",D14/B14-1)</f>
        <v>1.05555555555556</v>
      </c>
      <c r="G14" s="6"/>
      <c r="H14" s="5" t="s">
        <v>63</v>
      </c>
    </row>
    <row r="15" customFormat="false" ht="15" hidden="false" customHeight="false" outlineLevel="0" collapsed="false">
      <c r="A15" s="5" t="s">
        <v>72</v>
      </c>
      <c r="B15" s="13" t="n">
        <v>0.990637030580086</v>
      </c>
      <c r="C15" s="7" t="n">
        <v>0.0262480752432458</v>
      </c>
      <c r="D15" s="7" t="n">
        <v>1.07494953817342</v>
      </c>
      <c r="E15" s="7" t="n">
        <v>0.0222587866230028</v>
      </c>
      <c r="F15" s="8" t="n">
        <f aca="false">IF(B15=0,"",D15/B15-1)</f>
        <v>0.0851093841545245</v>
      </c>
      <c r="G15" s="6"/>
      <c r="H15" s="5"/>
    </row>
    <row r="16" customFormat="false" ht="15" hidden="false" customHeight="false" outlineLevel="0" collapsed="false">
      <c r="A16" s="5" t="s">
        <v>73</v>
      </c>
      <c r="B16" s="13" t="n">
        <v>1.06456347039853</v>
      </c>
      <c r="C16" s="7" t="n">
        <v>0.0304422408647187</v>
      </c>
      <c r="D16" s="7" t="n">
        <v>1.16511783383245</v>
      </c>
      <c r="E16" s="7" t="n">
        <v>0.0234103992283709</v>
      </c>
      <c r="F16" s="8" t="n">
        <f aca="false">IF(B16=0,"",D16/B16-1)</f>
        <v>0.0944559589258516</v>
      </c>
      <c r="G16" s="6" t="s">
        <v>66</v>
      </c>
      <c r="H16" s="5"/>
    </row>
    <row r="17" customFormat="false" ht="15" hidden="false" customHeight="false" outlineLevel="0" collapsed="false">
      <c r="A17" s="5" t="s">
        <v>74</v>
      </c>
      <c r="B17" s="6" t="str">
        <f aca="false">IF(AND(B14&lt;=B13,B13&lt;=B12),"pass",IF(AND(B14-B13&lt;=0.5,B13-B12&lt;=0.5),"pass (tol.)","fail"))</f>
        <v>pass</v>
      </c>
      <c r="C17" s="6"/>
      <c r="D17" s="6" t="str">
        <f aca="false">IF(AND(D14&lt;=D13,D13&lt;=D12),"pass",IF(AND(D14-D13&lt;=0.5,D13-D12&lt;=0.5),"pass (tol.)","fail"))</f>
        <v>pass</v>
      </c>
      <c r="E17" s="6"/>
      <c r="F17" s="6"/>
      <c r="G17" s="6"/>
      <c r="H17" s="5"/>
    </row>
    <row r="19" customFormat="false" ht="15" hidden="false" customHeight="false" outlineLevel="0" collapsed="false">
      <c r="A19" s="12" t="s">
        <v>111</v>
      </c>
      <c r="B19" s="12"/>
      <c r="C19" s="12"/>
      <c r="D19" s="12"/>
      <c r="E19" s="12"/>
      <c r="F19" s="12"/>
      <c r="G19" s="12"/>
      <c r="H19" s="12"/>
    </row>
    <row r="20" customFormat="false" ht="15" hidden="false" customHeight="false" outlineLevel="0" collapsed="false">
      <c r="A20" s="3" t="s">
        <v>78</v>
      </c>
      <c r="B20" s="4" t="s">
        <v>79</v>
      </c>
      <c r="C20" s="4" t="s">
        <v>80</v>
      </c>
      <c r="D20" s="4" t="s">
        <v>81</v>
      </c>
      <c r="E20" s="4" t="s">
        <v>82</v>
      </c>
      <c r="F20" s="4" t="s">
        <v>83</v>
      </c>
      <c r="G20" s="4" t="s">
        <v>84</v>
      </c>
      <c r="H20" s="3" t="s">
        <v>85</v>
      </c>
      <c r="I20" s="4" t="s">
        <v>86</v>
      </c>
      <c r="J20" s="4" t="s">
        <v>87</v>
      </c>
      <c r="K20" s="4" t="s">
        <v>88</v>
      </c>
      <c r="L20" s="4" t="s">
        <v>89</v>
      </c>
      <c r="M20" s="4" t="s">
        <v>90</v>
      </c>
    </row>
    <row r="21" customFormat="false" ht="15" hidden="false" customHeight="false" outlineLevel="0" collapsed="false">
      <c r="A21" s="5" t="s">
        <v>91</v>
      </c>
      <c r="B21" s="7" t="n">
        <v>24.4874452891039</v>
      </c>
      <c r="C21" s="7" t="n">
        <v>24.463257313983</v>
      </c>
      <c r="D21" s="7" t="n">
        <v>27.088804422944</v>
      </c>
      <c r="E21" s="7" t="n">
        <v>26.4766182907164</v>
      </c>
      <c r="F21" s="7" t="n">
        <v>25.4515088689242</v>
      </c>
      <c r="G21" s="7" t="n">
        <v>24.9285878829763</v>
      </c>
      <c r="H21" s="10" t="n">
        <v>26.4990785533287</v>
      </c>
      <c r="I21" s="7" t="n">
        <v>24.1200184289334</v>
      </c>
      <c r="J21" s="7" t="n">
        <v>23.8332181524994</v>
      </c>
      <c r="K21" s="7" t="n">
        <v>26.1673577516701</v>
      </c>
      <c r="L21" s="7" t="n">
        <f aca="false">AVERAGE(B21:K21)</f>
        <v>25.3515894955079</v>
      </c>
      <c r="M21" s="7" t="n">
        <f aca="false">STDEV(B21:K21)</f>
        <v>1.14565977238791</v>
      </c>
    </row>
    <row r="22" customFormat="false" ht="15" hidden="false" customHeight="false" outlineLevel="0" collapsed="false">
      <c r="A22" s="5" t="s">
        <v>92</v>
      </c>
      <c r="B22" s="7" t="n">
        <v>1.00714121170237</v>
      </c>
      <c r="C22" s="7" t="n">
        <v>1.02142363510712</v>
      </c>
      <c r="D22" s="7" t="n">
        <v>1.07935959456346</v>
      </c>
      <c r="E22" s="7" t="n">
        <v>1.02395761345312</v>
      </c>
      <c r="F22" s="7" t="n">
        <v>1.01197880672656</v>
      </c>
      <c r="G22" s="7" t="n">
        <v>1.00852338170928</v>
      </c>
      <c r="H22" s="10" t="n">
        <v>1.04250172771251</v>
      </c>
      <c r="I22" s="7" t="n">
        <v>0.988366735775166</v>
      </c>
      <c r="J22" s="7" t="n">
        <v>0.995968670813176</v>
      </c>
      <c r="K22" s="7" t="n">
        <v>1.03697304768487</v>
      </c>
      <c r="L22" s="7" t="n">
        <f aca="false">AVERAGE(B22:K22)</f>
        <v>1.02161944252476</v>
      </c>
      <c r="M22" s="7" t="n">
        <f aca="false">STDEV(B22:K22)</f>
        <v>0.0263502182115343</v>
      </c>
    </row>
    <row r="23" customFormat="false" ht="15" hidden="false" customHeight="false" outlineLevel="0" collapsed="false">
      <c r="A23" s="5" t="s">
        <v>93</v>
      </c>
      <c r="B23" s="7" t="n">
        <v>4.45833333333333</v>
      </c>
      <c r="C23" s="7" t="n">
        <v>4.83333333333333</v>
      </c>
      <c r="D23" s="7" t="n">
        <v>5.45833333333333</v>
      </c>
      <c r="E23" s="7" t="n">
        <v>4.95833333333333</v>
      </c>
      <c r="F23" s="7" t="n">
        <v>4.375</v>
      </c>
      <c r="G23" s="7" t="n">
        <v>5.5</v>
      </c>
      <c r="H23" s="10" t="n">
        <v>5.04166666666667</v>
      </c>
      <c r="I23" s="7" t="n">
        <v>3.625</v>
      </c>
      <c r="J23" s="7" t="n">
        <v>4.33333333333333</v>
      </c>
      <c r="K23" s="7" t="n">
        <v>4.45833333333333</v>
      </c>
      <c r="L23" s="7" t="n">
        <f aca="false">AVERAGE(B23:K23)</f>
        <v>4.70416666666667</v>
      </c>
      <c r="M23" s="7" t="n">
        <f aca="false">STDEV(B23:K23)</f>
        <v>0.570442891613694</v>
      </c>
    </row>
    <row r="24" customFormat="false" ht="15" hidden="false" customHeight="false" outlineLevel="0" collapsed="false">
      <c r="A24" s="5" t="s">
        <v>94</v>
      </c>
      <c r="B24" s="7" t="n">
        <v>0.575</v>
      </c>
      <c r="C24" s="7" t="n">
        <v>0.666666666666667</v>
      </c>
      <c r="D24" s="7" t="n">
        <v>0.65</v>
      </c>
      <c r="E24" s="7" t="n">
        <v>0.691666666666667</v>
      </c>
      <c r="F24" s="7" t="n">
        <v>0.608333333333333</v>
      </c>
      <c r="G24" s="7" t="n">
        <v>0.675</v>
      </c>
      <c r="H24" s="10" t="n">
        <v>0.691666666666667</v>
      </c>
      <c r="I24" s="7" t="n">
        <v>0.5</v>
      </c>
      <c r="J24" s="7" t="n">
        <v>0.55</v>
      </c>
      <c r="K24" s="7" t="n">
        <v>0.633333333333333</v>
      </c>
      <c r="L24" s="7" t="n">
        <f aca="false">AVERAGE(B24:K24)</f>
        <v>0.624166666666667</v>
      </c>
      <c r="M24" s="7" t="n">
        <f aca="false">STDEV(B24:K24)</f>
        <v>0.0648419255469945</v>
      </c>
    </row>
    <row r="25" customFormat="false" ht="15" hidden="false" customHeight="false" outlineLevel="0" collapsed="false">
      <c r="A25" s="5" t="s">
        <v>95</v>
      </c>
      <c r="B25" s="7" t="n">
        <v>0</v>
      </c>
      <c r="C25" s="7"/>
      <c r="D25" s="7" t="n">
        <v>1.66666666666667</v>
      </c>
      <c r="E25" s="7"/>
      <c r="F25" s="7" t="n">
        <v>3.33333333333333</v>
      </c>
      <c r="G25" s="7" t="n">
        <v>1.66666666666667</v>
      </c>
      <c r="H25" s="10" t="n">
        <v>3.33333333333333</v>
      </c>
      <c r="I25" s="7"/>
      <c r="J25" s="7" t="n">
        <v>2.22222222222222</v>
      </c>
      <c r="K25" s="7" t="n">
        <v>0</v>
      </c>
      <c r="L25" s="7" t="n">
        <f aca="false">AVERAGE(B25:K25)</f>
        <v>1.74603174603175</v>
      </c>
      <c r="M25" s="7" t="n">
        <f aca="false">STDEV(B25:K25)</f>
        <v>1.37693266451567</v>
      </c>
    </row>
    <row r="26" customFormat="false" ht="15" hidden="false" customHeight="false" outlineLevel="0" collapsed="false">
      <c r="A26" s="5" t="s">
        <v>96</v>
      </c>
      <c r="B26" s="7" t="n">
        <v>0</v>
      </c>
      <c r="C26" s="7"/>
      <c r="D26" s="7" t="n">
        <v>0.333333333333333</v>
      </c>
      <c r="E26" s="7"/>
      <c r="F26" s="7" t="n">
        <v>0.333333333333333</v>
      </c>
      <c r="G26" s="7" t="n">
        <v>0.333333333333333</v>
      </c>
      <c r="H26" s="10" t="n">
        <v>0.666666666666667</v>
      </c>
      <c r="I26" s="7"/>
      <c r="J26" s="7" t="n">
        <v>0.333333333333333</v>
      </c>
      <c r="K26" s="7" t="n">
        <v>0</v>
      </c>
      <c r="L26" s="7" t="n">
        <f aca="false">AVERAGE(B26:K26)</f>
        <v>0.285714285714286</v>
      </c>
      <c r="M26" s="7" t="n">
        <f aca="false">STDEV(B26:K26)</f>
        <v>0.230021853114118</v>
      </c>
    </row>
    <row r="27" customFormat="false" ht="15" hidden="false" customHeight="false" outlineLevel="0" collapsed="false">
      <c r="A27" s="5" t="s">
        <v>97</v>
      </c>
      <c r="B27" s="7" t="n">
        <v>22.9243679626089</v>
      </c>
      <c r="C27" s="7" t="n">
        <v>22.9600085088279</v>
      </c>
      <c r="D27" s="7" t="n">
        <v>25.4020607605694</v>
      </c>
      <c r="E27" s="7" t="n">
        <v>24.8287598383323</v>
      </c>
      <c r="F27" s="7" t="n">
        <v>23.8244047619048</v>
      </c>
      <c r="G27" s="7" t="n">
        <v>23.4130019120459</v>
      </c>
      <c r="H27" s="10" t="n">
        <v>24.8421556122449</v>
      </c>
      <c r="I27" s="7" t="n">
        <v>22.5505211657094</v>
      </c>
      <c r="J27" s="7" t="n">
        <v>22.3014861995754</v>
      </c>
      <c r="K27" s="7" t="n">
        <v>24.4892644557823</v>
      </c>
      <c r="L27" s="7" t="n">
        <f aca="false">AVERAGE(B27:K27)</f>
        <v>23.7536031177601</v>
      </c>
      <c r="M27" s="7" t="n">
        <f aca="false">STDEV(B27:K27)</f>
        <v>1.08494822400161</v>
      </c>
    </row>
    <row r="28" customFormat="false" ht="15" hidden="false" customHeight="false" outlineLevel="0" collapsed="false">
      <c r="A28" s="5" t="s">
        <v>98</v>
      </c>
      <c r="B28" s="7" t="n">
        <v>0.972806458466114</v>
      </c>
      <c r="C28" s="7" t="n">
        <v>0.994256541161455</v>
      </c>
      <c r="D28" s="7" t="n">
        <v>1.04557042702358</v>
      </c>
      <c r="E28" s="7" t="n">
        <v>0.998510955115932</v>
      </c>
      <c r="F28" s="7" t="n">
        <v>0.980654761904761</v>
      </c>
      <c r="G28" s="7" t="n">
        <v>0.982154238368388</v>
      </c>
      <c r="H28" s="10" t="n">
        <v>1.01541241496599</v>
      </c>
      <c r="I28" s="7" t="n">
        <v>0.950967879174643</v>
      </c>
      <c r="J28" s="7" t="n">
        <v>0.960615711252654</v>
      </c>
      <c r="K28" s="7" t="n">
        <v>1.00542091836735</v>
      </c>
      <c r="L28" s="7" t="n">
        <f aca="false">AVERAGE(B28:K28)</f>
        <v>0.990637030580086</v>
      </c>
      <c r="M28" s="7" t="n">
        <f aca="false">STDEV(B28:K28)</f>
        <v>0.0276679006547117</v>
      </c>
    </row>
    <row r="29" customFormat="false" ht="15" hidden="false" customHeight="false" outlineLevel="0" collapsed="false">
      <c r="A29" s="5" t="s">
        <v>99</v>
      </c>
      <c r="B29" s="7" t="n">
        <v>29.7800046072334</v>
      </c>
      <c r="C29" s="7" t="n">
        <v>29.7143515319051</v>
      </c>
      <c r="D29" s="7" t="n">
        <v>26.9465560930661</v>
      </c>
      <c r="E29" s="7" t="n">
        <v>28.5573600552868</v>
      </c>
      <c r="F29" s="7" t="n">
        <v>29.4932043307994</v>
      </c>
      <c r="G29" s="7" t="n">
        <v>29.0699147661829</v>
      </c>
      <c r="H29" s="10" t="n">
        <v>28.1536512324349</v>
      </c>
      <c r="I29" s="7" t="n">
        <v>28.9155724487445</v>
      </c>
      <c r="J29" s="7" t="n">
        <v>31.0608154803041</v>
      </c>
      <c r="K29" s="7" t="n">
        <v>30.4330799354987</v>
      </c>
      <c r="L29" s="7" t="n">
        <f aca="false">AVERAGE(B29:K29)</f>
        <v>29.2124510481456</v>
      </c>
      <c r="M29" s="7" t="n">
        <f aca="false">STDEV(B29:K29)</f>
        <v>1.17152152723845</v>
      </c>
    </row>
    <row r="30" customFormat="false" ht="15" hidden="false" customHeight="false" outlineLevel="0" collapsed="false">
      <c r="A30" s="5" t="s">
        <v>100</v>
      </c>
      <c r="B30" s="7" t="n">
        <v>1.11161022805805</v>
      </c>
      <c r="C30" s="7" t="n">
        <v>1.10815480304077</v>
      </c>
      <c r="D30" s="7" t="n">
        <v>1.04445980188897</v>
      </c>
      <c r="E30" s="7" t="n">
        <v>1.09859479382631</v>
      </c>
      <c r="F30" s="7" t="n">
        <v>1.09928587882976</v>
      </c>
      <c r="G30" s="7" t="n">
        <v>1.09548491131076</v>
      </c>
      <c r="H30" s="10" t="n">
        <v>1.06381018198572</v>
      </c>
      <c r="I30" s="7" t="n">
        <v>1.12301313061506</v>
      </c>
      <c r="J30" s="7" t="n">
        <v>1.12174614144206</v>
      </c>
      <c r="K30" s="7" t="n">
        <v>1.10274130384704</v>
      </c>
      <c r="L30" s="7" t="n">
        <f aca="false">AVERAGE(B30:K30)</f>
        <v>1.09689011748445</v>
      </c>
      <c r="M30" s="7" t="n">
        <f aca="false">STDEV(B30:K30)</f>
        <v>0.0247922148267075</v>
      </c>
    </row>
    <row r="31" customFormat="false" ht="15" hidden="false" customHeight="false" outlineLevel="0" collapsed="false">
      <c r="A31" s="5" t="s">
        <v>101</v>
      </c>
      <c r="B31" s="7" t="n">
        <v>8.54166666666667</v>
      </c>
      <c r="C31" s="7" t="n">
        <v>7.83333333333333</v>
      </c>
      <c r="D31" s="7" t="n">
        <v>6.95833333333333</v>
      </c>
      <c r="E31" s="7" t="n">
        <v>6.58333333333333</v>
      </c>
      <c r="F31" s="7" t="n">
        <v>7.75</v>
      </c>
      <c r="G31" s="7" t="n">
        <v>7.375</v>
      </c>
      <c r="H31" s="10" t="n">
        <v>7.625</v>
      </c>
      <c r="I31" s="7" t="n">
        <v>6.66666666666667</v>
      </c>
      <c r="J31" s="7" t="n">
        <v>8.16666666666667</v>
      </c>
      <c r="K31" s="7" t="n">
        <v>7.95833333333333</v>
      </c>
      <c r="L31" s="7" t="n">
        <f aca="false">AVERAGE(B31:K31)</f>
        <v>7.54583333333333</v>
      </c>
      <c r="M31" s="7" t="n">
        <f aca="false">STDEV(B31:K31)</f>
        <v>0.645631688951044</v>
      </c>
    </row>
    <row r="32" customFormat="false" ht="15" hidden="false" customHeight="false" outlineLevel="0" collapsed="false">
      <c r="A32" s="5" t="s">
        <v>102</v>
      </c>
      <c r="B32" s="7" t="n">
        <v>0.883333333333333</v>
      </c>
      <c r="C32" s="7" t="n">
        <v>0.858333333333333</v>
      </c>
      <c r="D32" s="7" t="n">
        <v>0.808333333333333</v>
      </c>
      <c r="E32" s="7" t="n">
        <v>0.75</v>
      </c>
      <c r="F32" s="7" t="n">
        <v>0.833333333333333</v>
      </c>
      <c r="G32" s="7" t="n">
        <v>0.825</v>
      </c>
      <c r="H32" s="10" t="n">
        <v>0.8</v>
      </c>
      <c r="I32" s="7" t="n">
        <v>0.8</v>
      </c>
      <c r="J32" s="7" t="n">
        <v>0.783333333333333</v>
      </c>
      <c r="K32" s="7" t="n">
        <v>0.808333333333333</v>
      </c>
      <c r="L32" s="7" t="n">
        <f aca="false">AVERAGE(B32:K32)</f>
        <v>0.815</v>
      </c>
      <c r="M32" s="7" t="n">
        <f aca="false">STDEV(B32:K32)</f>
        <v>0.037638632635454</v>
      </c>
    </row>
    <row r="33" customFormat="false" ht="15" hidden="false" customHeight="false" outlineLevel="0" collapsed="false">
      <c r="A33" s="5" t="s">
        <v>103</v>
      </c>
      <c r="B33" s="7" t="n">
        <v>6.66666666666667</v>
      </c>
      <c r="C33" s="7"/>
      <c r="D33" s="7" t="n">
        <v>5</v>
      </c>
      <c r="E33" s="7"/>
      <c r="F33" s="7" t="n">
        <v>1.66666666666667</v>
      </c>
      <c r="G33" s="7" t="n">
        <v>4.16666666666667</v>
      </c>
      <c r="H33" s="10" t="n">
        <v>6.66666666666667</v>
      </c>
      <c r="I33" s="7"/>
      <c r="J33" s="7" t="n">
        <v>5</v>
      </c>
      <c r="K33" s="7" t="n">
        <v>5</v>
      </c>
      <c r="L33" s="7" t="n">
        <f aca="false">AVERAGE(B33:K33)</f>
        <v>4.88095238095238</v>
      </c>
      <c r="M33" s="7" t="n">
        <f aca="false">STDEV(B33:K33)</f>
        <v>1.69616748199702</v>
      </c>
    </row>
    <row r="34" customFormat="false" ht="15" hidden="false" customHeight="false" outlineLevel="0" collapsed="false">
      <c r="A34" s="5" t="s">
        <v>104</v>
      </c>
      <c r="B34" s="7" t="n">
        <v>0.666666666666667</v>
      </c>
      <c r="C34" s="7"/>
      <c r="D34" s="7" t="n">
        <v>0.5</v>
      </c>
      <c r="E34" s="7"/>
      <c r="F34" s="7" t="n">
        <v>0.333333333333333</v>
      </c>
      <c r="G34" s="7" t="n">
        <v>0.5</v>
      </c>
      <c r="H34" s="10" t="n">
        <v>1</v>
      </c>
      <c r="I34" s="7"/>
      <c r="J34" s="7" t="n">
        <v>0.777777777777778</v>
      </c>
      <c r="K34" s="7" t="n">
        <v>0.333333333333333</v>
      </c>
      <c r="L34" s="7" t="n">
        <f aca="false">AVERAGE(B34:K34)</f>
        <v>0.587301587301587</v>
      </c>
      <c r="M34" s="7" t="n">
        <f aca="false">STDEV(B34:K34)</f>
        <v>0.243975018237133</v>
      </c>
    </row>
    <row r="35" customFormat="false" ht="15" hidden="false" customHeight="false" outlineLevel="0" collapsed="false">
      <c r="A35" s="5" t="s">
        <v>105</v>
      </c>
      <c r="B35" s="7" t="n">
        <v>28.1261950286807</v>
      </c>
      <c r="C35" s="7" t="n">
        <v>28.0387151669857</v>
      </c>
      <c r="D35" s="7" t="n">
        <v>25.3898449118334</v>
      </c>
      <c r="E35" s="7" t="n">
        <v>26.8746011486918</v>
      </c>
      <c r="F35" s="7" t="n">
        <v>27.8114370748299</v>
      </c>
      <c r="G35" s="7" t="n">
        <v>27.3789037603569</v>
      </c>
      <c r="H35" s="10" t="n">
        <v>26.5688775510204</v>
      </c>
      <c r="I35" s="7" t="n">
        <v>27.2117634545841</v>
      </c>
      <c r="J35" s="7" t="n">
        <v>29.2611464968153</v>
      </c>
      <c r="K35" s="7" t="n">
        <v>28.6968537414966</v>
      </c>
      <c r="L35" s="7" t="n">
        <f aca="false">AVERAGE(B35:K35)</f>
        <v>27.5358338335295</v>
      </c>
      <c r="M35" s="7" t="n">
        <f aca="false">STDEV(B35:K35)</f>
        <v>1.11101526951624</v>
      </c>
    </row>
    <row r="36" customFormat="false" ht="15" hidden="false" customHeight="false" outlineLevel="0" collapsed="false">
      <c r="A36" s="5" t="s">
        <v>106</v>
      </c>
      <c r="B36" s="7" t="n">
        <v>1.09358402379435</v>
      </c>
      <c r="C36" s="7" t="n">
        <v>1.08902361199745</v>
      </c>
      <c r="D36" s="7" t="n">
        <v>1.02570639473125</v>
      </c>
      <c r="E36" s="7" t="n">
        <v>1.07189959583067</v>
      </c>
      <c r="F36" s="7" t="n">
        <v>1.07844387755102</v>
      </c>
      <c r="G36" s="7" t="n">
        <v>1.07403866581687</v>
      </c>
      <c r="H36" s="10" t="n">
        <v>1.04357993197279</v>
      </c>
      <c r="I36" s="7" t="n">
        <v>1.09827696234844</v>
      </c>
      <c r="J36" s="7" t="n">
        <v>1.09522292993631</v>
      </c>
      <c r="K36" s="7" t="n">
        <v>1.0797193877551</v>
      </c>
      <c r="L36" s="7" t="n">
        <f aca="false">AVERAGE(B36:K36)</f>
        <v>1.07494953817342</v>
      </c>
      <c r="M36" s="7" t="n">
        <f aca="false">STDEV(B36:K36)</f>
        <v>0.0234628212267921</v>
      </c>
    </row>
  </sheetData>
  <mergeCells count="2">
    <mergeCell ref="A4:H4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6"/>
    <col collapsed="false" customWidth="true" hidden="false" outlineLevel="0" max="8" min="8" style="0" width="62"/>
  </cols>
  <sheetData>
    <row r="1" customFormat="false" ht="1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11" t="s">
        <v>113</v>
      </c>
    </row>
    <row r="4" customFormat="false" ht="15" hidden="false" customHeight="false" outlineLevel="0" collapsed="false">
      <c r="A4" s="12" t="s">
        <v>114</v>
      </c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3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3" t="s">
        <v>59</v>
      </c>
    </row>
    <row r="6" customFormat="false" ht="15" hidden="false" customHeight="false" outlineLevel="0" collapsed="false">
      <c r="A6" s="5" t="s">
        <v>60</v>
      </c>
      <c r="B6" s="7" t="n">
        <v>0.764315207480353</v>
      </c>
      <c r="C6" s="7" t="n">
        <v>0.0583731693603074</v>
      </c>
      <c r="D6" s="13" t="n">
        <v>0.661055365357199</v>
      </c>
      <c r="E6" s="7" t="n">
        <v>0.0513198882124483</v>
      </c>
      <c r="F6" s="8" t="n">
        <f aca="false">IF(B6=0,"",D6/B6-1)</f>
        <v>-0.135101122040423</v>
      </c>
      <c r="G6" s="6"/>
      <c r="H6" s="5"/>
    </row>
    <row r="7" customFormat="false" ht="15" hidden="false" customHeight="false" outlineLevel="0" collapsed="false">
      <c r="A7" s="5" t="s">
        <v>61</v>
      </c>
      <c r="B7" s="7" t="n">
        <v>0.399404761904762</v>
      </c>
      <c r="C7" s="7" t="n">
        <v>0.176123096833139</v>
      </c>
      <c r="D7" s="13" t="n">
        <v>0.3625</v>
      </c>
      <c r="E7" s="7" t="n">
        <v>0.184916057747018</v>
      </c>
      <c r="F7" s="8" t="n">
        <f aca="false">IF(B7=0,"",D7/B7-1)</f>
        <v>-0.0923994038748137</v>
      </c>
      <c r="G7" s="6"/>
      <c r="H7" s="5"/>
    </row>
    <row r="8" customFormat="false" ht="15" hidden="false" customHeight="false" outlineLevel="0" collapsed="false">
      <c r="A8" s="5" t="s">
        <v>62</v>
      </c>
      <c r="B8" s="7" t="n">
        <v>0.375</v>
      </c>
      <c r="C8" s="7" t="n">
        <v>0.57282196186948</v>
      </c>
      <c r="D8" s="13" t="n">
        <v>0.25</v>
      </c>
      <c r="E8" s="7" t="n">
        <v>0.5</v>
      </c>
      <c r="F8" s="8" t="n">
        <f aca="false">IF(B8=0,"",D8/B8-1)</f>
        <v>-0.333333333333333</v>
      </c>
      <c r="G8" s="6"/>
      <c r="H8" s="5" t="s">
        <v>63</v>
      </c>
    </row>
    <row r="9" customFormat="false" ht="15" hidden="false" customHeight="false" outlineLevel="0" collapsed="false">
      <c r="A9" s="5" t="s">
        <v>64</v>
      </c>
      <c r="B9" s="7" t="n">
        <v>0.759914434999951</v>
      </c>
      <c r="C9" s="7" t="n">
        <v>0.0567901248988525</v>
      </c>
      <c r="D9" s="13" t="n">
        <v>0.657314845890638</v>
      </c>
      <c r="E9" s="7" t="n">
        <v>0.0508489174568541</v>
      </c>
      <c r="F9" s="8" t="n">
        <f aca="false">IF(B9=0,"",D9/B9-1)</f>
        <v>-0.135014660050929</v>
      </c>
      <c r="G9" s="6"/>
      <c r="H9" s="5"/>
    </row>
    <row r="10" customFormat="false" ht="15" hidden="false" customHeight="false" outlineLevel="0" collapsed="false">
      <c r="A10" s="5" t="s">
        <v>65</v>
      </c>
      <c r="B10" s="7" t="n">
        <v>0.770377529184126</v>
      </c>
      <c r="C10" s="7" t="n">
        <v>0.0552364028407932</v>
      </c>
      <c r="D10" s="13" t="n">
        <v>0.666410345436376</v>
      </c>
      <c r="E10" s="7" t="n">
        <v>0.0518912625664574</v>
      </c>
      <c r="F10" s="8" t="n">
        <f aca="false">IF(B10=0,"",D10/B10-1)</f>
        <v>-0.134956147874481</v>
      </c>
      <c r="G10" s="6" t="s">
        <v>115</v>
      </c>
      <c r="H10" s="5"/>
    </row>
    <row r="11" customFormat="false" ht="15" hidden="false" customHeight="false" outlineLevel="0" collapsed="false">
      <c r="A11" s="5" t="s">
        <v>67</v>
      </c>
      <c r="B11" s="6" t="str">
        <f aca="false">IF(AND(B8&lt;=B7,B7&lt;=B6),"pass",IF(AND(B8-B7&lt;=5,B7-B6&lt;=5),"pass (tol. 5 s)","fail"))</f>
        <v>pass</v>
      </c>
      <c r="C11" s="6"/>
      <c r="D11" s="6" t="str">
        <f aca="false">IF(AND(D8&lt;=D7,D7&lt;=D6),"pass",IF(AND(D8-D7&lt;=5,D7-D6&lt;=5),"pass (tol. 5 s)","fail"))</f>
        <v>pass</v>
      </c>
      <c r="E11" s="6"/>
      <c r="F11" s="6"/>
      <c r="G11" s="6"/>
      <c r="H11" s="5" t="s">
        <v>68</v>
      </c>
    </row>
    <row r="12" customFormat="false" ht="15" hidden="false" customHeight="false" outlineLevel="0" collapsed="false">
      <c r="A12" s="5" t="s">
        <v>69</v>
      </c>
      <c r="B12" s="7" t="n">
        <v>0.10846497828997</v>
      </c>
      <c r="C12" s="7" t="n">
        <v>0.00740925418414015</v>
      </c>
      <c r="D12" s="13" t="n">
        <v>0.0946555009254376</v>
      </c>
      <c r="E12" s="7" t="n">
        <v>0.00760806488587811</v>
      </c>
      <c r="F12" s="8" t="n">
        <f aca="false">IF(B12=0,"",D12/B12-1)</f>
        <v>-0.127317384673365</v>
      </c>
      <c r="G12" s="6"/>
      <c r="H12" s="5"/>
    </row>
    <row r="13" customFormat="false" ht="15" hidden="false" customHeight="false" outlineLevel="0" collapsed="false">
      <c r="A13" s="5" t="s">
        <v>70</v>
      </c>
      <c r="B13" s="7" t="n">
        <v>0.0602380952380952</v>
      </c>
      <c r="C13" s="7" t="n">
        <v>0.0228819310033028</v>
      </c>
      <c r="D13" s="13" t="n">
        <v>0.0589285714285714</v>
      </c>
      <c r="E13" s="7" t="n">
        <v>0.0283635792943254</v>
      </c>
      <c r="F13" s="8" t="n">
        <f aca="false">IF(B13=0,"",D13/B13-1)</f>
        <v>-0.0217391304347827</v>
      </c>
      <c r="G13" s="6"/>
      <c r="H13" s="5"/>
    </row>
    <row r="14" customFormat="false" ht="15" hidden="false" customHeight="false" outlineLevel="0" collapsed="false">
      <c r="A14" s="5" t="s">
        <v>71</v>
      </c>
      <c r="B14" s="7" t="n">
        <v>0.075</v>
      </c>
      <c r="C14" s="7" t="n">
        <v>0.114564392373896</v>
      </c>
      <c r="D14" s="13" t="n">
        <v>0.05</v>
      </c>
      <c r="E14" s="7" t="n">
        <v>0.1</v>
      </c>
      <c r="F14" s="8" t="n">
        <f aca="false">IF(B14=0,"",D14/B14-1)</f>
        <v>-0.333333333333333</v>
      </c>
      <c r="G14" s="6"/>
      <c r="H14" s="5" t="s">
        <v>63</v>
      </c>
    </row>
    <row r="15" customFormat="false" ht="15" hidden="false" customHeight="false" outlineLevel="0" collapsed="false">
      <c r="A15" s="5" t="s">
        <v>72</v>
      </c>
      <c r="B15" s="7" t="n">
        <v>0.107910373615727</v>
      </c>
      <c r="C15" s="7" t="n">
        <v>0.00717887885125108</v>
      </c>
      <c r="D15" s="13" t="n">
        <v>0.0942146537936148</v>
      </c>
      <c r="E15" s="7" t="n">
        <v>0.0074953253479768</v>
      </c>
      <c r="F15" s="8" t="n">
        <f aca="false">IF(B15=0,"",D15/B15-1)</f>
        <v>-0.126917546137715</v>
      </c>
      <c r="G15" s="6"/>
      <c r="H15" s="5"/>
    </row>
    <row r="16" customFormat="false" ht="15" hidden="false" customHeight="false" outlineLevel="0" collapsed="false">
      <c r="A16" s="5" t="s">
        <v>73</v>
      </c>
      <c r="B16" s="7" t="n">
        <v>0.109572337766947</v>
      </c>
      <c r="C16" s="7" t="n">
        <v>0.00693391659432518</v>
      </c>
      <c r="D16" s="13" t="n">
        <v>0.0957371336499541</v>
      </c>
      <c r="E16" s="7" t="n">
        <v>0.00757089060663525</v>
      </c>
      <c r="F16" s="8" t="n">
        <f aca="false">IF(B16=0,"",D16/B16-1)</f>
        <v>-0.12626548268432</v>
      </c>
      <c r="G16" s="6" t="s">
        <v>116</v>
      </c>
      <c r="H16" s="5"/>
    </row>
    <row r="17" customFormat="false" ht="15" hidden="false" customHeight="false" outlineLevel="0" collapsed="false">
      <c r="A17" s="5" t="s">
        <v>117</v>
      </c>
      <c r="B17" s="6" t="str">
        <f aca="false">IF(B13&lt;=B12,"pass (amb n/a)","fail (amb n/a)")</f>
        <v>pass (amb n/a)</v>
      </c>
      <c r="C17" s="6"/>
      <c r="D17" s="6" t="str">
        <f aca="false">IF(D13&lt;=D12,"pass (amb n/a)","fail (amb n/a)")</f>
        <v>pass (amb n/a)</v>
      </c>
      <c r="E17" s="6"/>
      <c r="F17" s="6"/>
      <c r="G17" s="6"/>
      <c r="H17" s="5" t="s">
        <v>118</v>
      </c>
    </row>
    <row r="19" customFormat="false" ht="15" hidden="false" customHeight="false" outlineLevel="0" collapsed="false">
      <c r="A19" s="12" t="s">
        <v>119</v>
      </c>
      <c r="B19" s="12"/>
      <c r="C19" s="12"/>
      <c r="D19" s="12"/>
      <c r="E19" s="12"/>
      <c r="F19" s="12"/>
      <c r="G19" s="12"/>
      <c r="H19" s="12"/>
    </row>
    <row r="20" customFormat="false" ht="15" hidden="false" customHeight="false" outlineLevel="0" collapsed="false">
      <c r="A20" s="3" t="s">
        <v>120</v>
      </c>
      <c r="B20" s="4" t="s">
        <v>79</v>
      </c>
      <c r="C20" s="4" t="s">
        <v>80</v>
      </c>
      <c r="D20" s="4" t="s">
        <v>81</v>
      </c>
      <c r="E20" s="4" t="s">
        <v>82</v>
      </c>
      <c r="F20" s="4" t="s">
        <v>83</v>
      </c>
      <c r="G20" s="4" t="s">
        <v>84</v>
      </c>
      <c r="H20" s="3" t="s">
        <v>85</v>
      </c>
      <c r="I20" s="4" t="s">
        <v>86</v>
      </c>
      <c r="J20" s="4" t="s">
        <v>87</v>
      </c>
      <c r="K20" s="4" t="s">
        <v>88</v>
      </c>
      <c r="L20" s="4" t="s">
        <v>89</v>
      </c>
      <c r="M20" s="4" t="s">
        <v>90</v>
      </c>
    </row>
    <row r="21" customFormat="false" ht="15" hidden="false" customHeight="false" outlineLevel="0" collapsed="false">
      <c r="A21" s="5" t="s">
        <v>121</v>
      </c>
      <c r="B21" s="7" t="n">
        <v>1.25</v>
      </c>
      <c r="C21" s="7" t="n">
        <v>0</v>
      </c>
      <c r="D21" s="7" t="n">
        <v>1.25</v>
      </c>
      <c r="E21" s="7" t="n">
        <v>0</v>
      </c>
      <c r="F21" s="7" t="n">
        <v>0</v>
      </c>
      <c r="G21" s="7" t="n">
        <v>1.25</v>
      </c>
      <c r="H21" s="10" t="n">
        <v>0</v>
      </c>
      <c r="I21" s="7" t="n">
        <v>0</v>
      </c>
      <c r="J21" s="7" t="n">
        <v>0</v>
      </c>
      <c r="K21" s="7" t="n">
        <v>0</v>
      </c>
      <c r="L21" s="7" t="n">
        <f aca="false">AVERAGE(B21:K21)</f>
        <v>0.375</v>
      </c>
      <c r="M21" s="7" t="n">
        <f aca="false">STDEV(B21:K21)</f>
        <v>0.60380736442456</v>
      </c>
    </row>
    <row r="22" customFormat="false" ht="15" hidden="false" customHeight="false" outlineLevel="0" collapsed="false">
      <c r="A22" s="5" t="s">
        <v>122</v>
      </c>
      <c r="B22" s="7" t="n">
        <v>8.75</v>
      </c>
      <c r="C22" s="7" t="n">
        <v>1.25</v>
      </c>
      <c r="D22" s="7" t="n">
        <v>1.25</v>
      </c>
      <c r="E22" s="7" t="n">
        <v>2.5</v>
      </c>
      <c r="F22" s="7" t="n">
        <v>1.25</v>
      </c>
      <c r="G22" s="7" t="n">
        <v>5</v>
      </c>
      <c r="H22" s="10" t="n">
        <v>1.25</v>
      </c>
      <c r="I22" s="7" t="n">
        <v>0</v>
      </c>
      <c r="J22" s="7" t="n">
        <v>0</v>
      </c>
      <c r="K22" s="7" t="n">
        <v>1.25</v>
      </c>
      <c r="L22" s="7" t="n">
        <f aca="false">AVERAGE(B22:K22)</f>
        <v>2.25</v>
      </c>
      <c r="M22" s="7" t="n">
        <f aca="false">STDEV(B22:K22)</f>
        <v>2.68741924943285</v>
      </c>
    </row>
    <row r="23" customFormat="false" ht="15" hidden="false" customHeight="false" outlineLevel="0" collapsed="false">
      <c r="A23" s="5" t="s">
        <v>123</v>
      </c>
      <c r="B23" s="7" t="n">
        <v>0.25</v>
      </c>
      <c r="C23" s="7" t="n">
        <v>0</v>
      </c>
      <c r="D23" s="7" t="n">
        <v>0.25</v>
      </c>
      <c r="E23" s="7" t="n">
        <v>0</v>
      </c>
      <c r="F23" s="7" t="n">
        <v>0</v>
      </c>
      <c r="G23" s="7" t="n">
        <v>0.25</v>
      </c>
      <c r="H23" s="10" t="n">
        <v>0</v>
      </c>
      <c r="I23" s="7" t="n">
        <v>0</v>
      </c>
      <c r="J23" s="7" t="n">
        <v>0</v>
      </c>
      <c r="K23" s="7" t="n">
        <v>0</v>
      </c>
      <c r="L23" s="7" t="n">
        <f aca="false">AVERAGE(B23:K23)</f>
        <v>0.075</v>
      </c>
      <c r="M23" s="7" t="n">
        <f aca="false">STDEV(B23:K23)</f>
        <v>0.120761472884912</v>
      </c>
    </row>
    <row r="24" customFormat="false" ht="15" hidden="false" customHeight="false" outlineLevel="0" collapsed="false">
      <c r="A24" s="5" t="s">
        <v>124</v>
      </c>
      <c r="B24" s="7" t="n">
        <v>0.5</v>
      </c>
      <c r="C24" s="7" t="n">
        <v>0.25</v>
      </c>
      <c r="D24" s="7" t="n">
        <v>0.25</v>
      </c>
      <c r="E24" s="7" t="n">
        <v>0.25</v>
      </c>
      <c r="F24" s="7" t="n">
        <v>0.25</v>
      </c>
      <c r="G24" s="7" t="n">
        <v>0.5</v>
      </c>
      <c r="H24" s="10" t="n">
        <v>0.25</v>
      </c>
      <c r="I24" s="7" t="n">
        <v>0</v>
      </c>
      <c r="J24" s="7" t="n">
        <v>0</v>
      </c>
      <c r="K24" s="7" t="n">
        <v>0.25</v>
      </c>
      <c r="L24" s="7" t="n">
        <f aca="false">AVERAGE(B24:K24)</f>
        <v>0.25</v>
      </c>
      <c r="M24" s="7" t="n">
        <f aca="false">STDEV(B24:K24)</f>
        <v>0.166666666666667</v>
      </c>
    </row>
    <row r="25" customFormat="false" ht="15" hidden="false" customHeight="false" outlineLevel="0" collapsed="false">
      <c r="A25" s="5" t="s">
        <v>125</v>
      </c>
      <c r="B25" s="7" t="n">
        <v>1.25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10" t="n">
        <v>0</v>
      </c>
      <c r="I25" s="7" t="n">
        <v>0</v>
      </c>
      <c r="J25" s="7" t="n">
        <v>0</v>
      </c>
      <c r="K25" s="7" t="n">
        <v>1.25</v>
      </c>
      <c r="L25" s="7" t="n">
        <f aca="false">AVERAGE(B25:K25)</f>
        <v>0.25</v>
      </c>
      <c r="M25" s="7" t="n">
        <f aca="false">STDEV(B25:K25)</f>
        <v>0.52704627669473</v>
      </c>
    </row>
    <row r="26" customFormat="false" ht="15" hidden="false" customHeight="false" outlineLevel="0" collapsed="false">
      <c r="A26" s="5" t="s">
        <v>126</v>
      </c>
      <c r="B26" s="7" t="n">
        <v>1.25</v>
      </c>
      <c r="C26" s="7" t="n">
        <v>0</v>
      </c>
      <c r="D26" s="7" t="n">
        <v>1.25</v>
      </c>
      <c r="E26" s="7" t="n">
        <v>1.25</v>
      </c>
      <c r="F26" s="7" t="n">
        <v>0</v>
      </c>
      <c r="G26" s="7" t="n">
        <v>0</v>
      </c>
      <c r="H26" s="10" t="n">
        <v>1.25</v>
      </c>
      <c r="I26" s="7" t="n">
        <v>1.25</v>
      </c>
      <c r="J26" s="7" t="n">
        <v>1.25</v>
      </c>
      <c r="K26" s="7" t="n">
        <v>0</v>
      </c>
      <c r="L26" s="7" t="n">
        <f aca="false">AVERAGE(B26:K26)</f>
        <v>0.75</v>
      </c>
      <c r="M26" s="7" t="n">
        <f aca="false">STDEV(B26:K26)</f>
        <v>0.645497224367903</v>
      </c>
    </row>
    <row r="27" customFormat="false" ht="15" hidden="false" customHeight="false" outlineLevel="0" collapsed="false">
      <c r="A27" s="5" t="s">
        <v>127</v>
      </c>
      <c r="B27" s="7" t="n">
        <v>0.25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10" t="n">
        <v>0</v>
      </c>
      <c r="I27" s="7" t="n">
        <v>0</v>
      </c>
      <c r="J27" s="7" t="n">
        <v>0</v>
      </c>
      <c r="K27" s="7" t="n">
        <v>0.25</v>
      </c>
      <c r="L27" s="7" t="n">
        <f aca="false">AVERAGE(B27:K27)</f>
        <v>0.05</v>
      </c>
      <c r="M27" s="7" t="n">
        <f aca="false">STDEV(B27:K27)</f>
        <v>0.105409255338946</v>
      </c>
    </row>
    <row r="28" customFormat="false" ht="15" hidden="false" customHeight="false" outlineLevel="0" collapsed="false">
      <c r="A28" s="5" t="s">
        <v>128</v>
      </c>
      <c r="B28" s="7" t="n">
        <v>0.25</v>
      </c>
      <c r="C28" s="7" t="n">
        <v>0</v>
      </c>
      <c r="D28" s="7" t="n">
        <v>0.25</v>
      </c>
      <c r="E28" s="7" t="n">
        <v>0.25</v>
      </c>
      <c r="F28" s="7" t="n">
        <v>0</v>
      </c>
      <c r="G28" s="7" t="n">
        <v>0</v>
      </c>
      <c r="H28" s="10" t="n">
        <v>0.25</v>
      </c>
      <c r="I28" s="7" t="n">
        <v>0.25</v>
      </c>
      <c r="J28" s="7" t="n">
        <v>0.25</v>
      </c>
      <c r="K28" s="7" t="n">
        <v>0</v>
      </c>
      <c r="L28" s="7" t="n">
        <f aca="false">AVERAGE(B28:K28)</f>
        <v>0.15</v>
      </c>
      <c r="M28" s="7" t="n">
        <f aca="false">STDEV(B28:K28)</f>
        <v>0.129099444873581</v>
      </c>
    </row>
    <row r="29" customFormat="false" ht="15" hidden="false" customHeight="false" outlineLevel="0" collapsed="false">
      <c r="A29" s="5" t="s">
        <v>129</v>
      </c>
      <c r="B29" s="6" t="str">
        <f aca="false">SUMPRODUCT(--(B21:K21&lt;B22:K22))&amp;" / "&amp;SUMPRODUCT(--(B21:K21=B22:K22))&amp;" (of 10)"</f>
        <v>7 / 3 (of 10)</v>
      </c>
    </row>
    <row r="30" customFormat="false" ht="15" hidden="false" customHeight="false" outlineLevel="0" collapsed="false">
      <c r="A30" s="5" t="s">
        <v>130</v>
      </c>
      <c r="B30" s="6" t="str">
        <f aca="false">SUMPRODUCT(--(B23:K23&lt;B24:K24))&amp;" / "&amp;SUMPRODUCT(--(B23:K23=B24:K24))&amp;" (of 10)"</f>
        <v>7 / 3 (of 10)</v>
      </c>
    </row>
    <row r="31" customFormat="false" ht="15" hidden="false" customHeight="false" outlineLevel="0" collapsed="false">
      <c r="A31" s="5" t="s">
        <v>131</v>
      </c>
      <c r="B31" s="6" t="str">
        <f aca="false">SUMPRODUCT(--(B25:K25&lt;B26:K26))&amp;" / "&amp;SUMPRODUCT(--(B25:K25=B26:K26))&amp;" (of 10)"</f>
        <v>5 / 4 (of 10)</v>
      </c>
    </row>
    <row r="32" customFormat="false" ht="15" hidden="false" customHeight="false" outlineLevel="0" collapsed="false">
      <c r="A32" s="5" t="s">
        <v>132</v>
      </c>
      <c r="B32" s="6" t="str">
        <f aca="false">SUMPRODUCT(--(B27:K27&lt;B28:K28))&amp;" / "&amp;SUMPRODUCT(--(B27:K27=B28:K28))&amp;" (of 10)"</f>
        <v>5 / 4 (of 10)</v>
      </c>
    </row>
  </sheetData>
  <mergeCells count="2">
    <mergeCell ref="A4:H4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6"/>
    <col collapsed="false" customWidth="true" hidden="false" outlineLevel="0" max="8" min="8" style="0" width="62"/>
  </cols>
  <sheetData>
    <row r="1" customFormat="false" ht="1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11" t="s">
        <v>134</v>
      </c>
    </row>
    <row r="4" customFormat="false" ht="15" hidden="false" customHeight="false" outlineLevel="0" collapsed="false">
      <c r="A4" s="12" t="s">
        <v>135</v>
      </c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3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3" t="s">
        <v>59</v>
      </c>
    </row>
    <row r="6" customFormat="false" ht="15" hidden="false" customHeight="false" outlineLevel="0" collapsed="false">
      <c r="A6" s="5" t="s">
        <v>60</v>
      </c>
      <c r="B6" s="7" t="n">
        <v>2.76189670572929</v>
      </c>
      <c r="C6" s="7" t="n">
        <v>0.236729011747258</v>
      </c>
      <c r="D6" s="13" t="n">
        <v>2.00515247223236</v>
      </c>
      <c r="E6" s="7" t="n">
        <v>0.148140356484435</v>
      </c>
      <c r="F6" s="8" t="n">
        <f aca="false">IF(B6=0,"",D6/B6-1)</f>
        <v>-0.273994400995207</v>
      </c>
      <c r="G6" s="6"/>
      <c r="H6" s="5"/>
    </row>
    <row r="7" customFormat="false" ht="15" hidden="false" customHeight="false" outlineLevel="0" collapsed="false">
      <c r="A7" s="5" t="s">
        <v>61</v>
      </c>
      <c r="B7" s="7" t="n">
        <v>1.10400776974611</v>
      </c>
      <c r="C7" s="7" t="n">
        <v>0.105209847589851</v>
      </c>
      <c r="D7" s="13" t="n">
        <v>0.996639208844457</v>
      </c>
      <c r="E7" s="7" t="n">
        <v>0.0553382539210272</v>
      </c>
      <c r="F7" s="8" t="n">
        <f aca="false">IF(B7=0,"",D7/B7-1)</f>
        <v>-0.0972534467998788</v>
      </c>
      <c r="G7" s="6"/>
      <c r="H7" s="5"/>
    </row>
    <row r="8" customFormat="false" ht="15" hidden="false" customHeight="false" outlineLevel="0" collapsed="false">
      <c r="A8" s="5" t="s">
        <v>62</v>
      </c>
      <c r="B8" s="7" t="n">
        <v>0.9765625</v>
      </c>
      <c r="C8" s="7" t="n">
        <v>0.612322598671444</v>
      </c>
      <c r="D8" s="13" t="n">
        <v>0.8515625</v>
      </c>
      <c r="E8" s="7" t="n">
        <v>0.478989720499042</v>
      </c>
      <c r="F8" s="8" t="n">
        <f aca="false">IF(B8=0,"",D8/B8-1)</f>
        <v>-0.128</v>
      </c>
      <c r="G8" s="6"/>
      <c r="H8" s="5" t="s">
        <v>63</v>
      </c>
    </row>
    <row r="9" customFormat="false" ht="15" hidden="false" customHeight="false" outlineLevel="0" collapsed="false">
      <c r="A9" s="5" t="s">
        <v>64</v>
      </c>
      <c r="B9" s="7" t="n">
        <v>2.67921871733148</v>
      </c>
      <c r="C9" s="7" t="n">
        <v>0.228425079972053</v>
      </c>
      <c r="D9" s="13" t="n">
        <v>1.95467515661745</v>
      </c>
      <c r="E9" s="7" t="n">
        <v>0.1425283745291</v>
      </c>
      <c r="F9" s="8" t="n">
        <f aca="false">IF(B9=0,"",D9/B9-1)</f>
        <v>-0.270430911827787</v>
      </c>
      <c r="G9" s="6"/>
      <c r="H9" s="5"/>
    </row>
    <row r="10" customFormat="false" ht="15" hidden="false" customHeight="false" outlineLevel="0" collapsed="false">
      <c r="A10" s="5" t="s">
        <v>65</v>
      </c>
      <c r="B10" s="7" t="n">
        <v>2.79027457863489</v>
      </c>
      <c r="C10" s="7" t="n">
        <v>0.235780087533817</v>
      </c>
      <c r="D10" s="13" t="n">
        <v>2.05471571023817</v>
      </c>
      <c r="E10" s="7" t="n">
        <v>0.146430029007944</v>
      </c>
      <c r="F10" s="8" t="n">
        <f aca="false">IF(B10=0,"",D10/B10-1)</f>
        <v>-0.263615227701564</v>
      </c>
      <c r="G10" s="6" t="s">
        <v>136</v>
      </c>
      <c r="H10" s="5"/>
    </row>
    <row r="11" customFormat="false" ht="15" hidden="false" customHeight="false" outlineLevel="0" collapsed="false">
      <c r="A11" s="5" t="s">
        <v>67</v>
      </c>
      <c r="B11" s="6" t="str">
        <f aca="false">IF(AND(B8&lt;=B7,B7&lt;=B6),"pass",IF(AND(B8-B7&lt;=5,B7-B6&lt;=5),"pass (tol. 5 s)","fail"))</f>
        <v>pass</v>
      </c>
      <c r="C11" s="6"/>
      <c r="D11" s="6" t="str">
        <f aca="false">IF(AND(D8&lt;=D7,D7&lt;=D6),"pass",IF(AND(D8-D7&lt;=5,D7-D6&lt;=5),"pass (tol. 5 s)","fail"))</f>
        <v>pass</v>
      </c>
      <c r="E11" s="6"/>
      <c r="F11" s="6"/>
      <c r="G11" s="6"/>
      <c r="H11" s="5" t="s">
        <v>68</v>
      </c>
    </row>
    <row r="12" customFormat="false" ht="15" hidden="false" customHeight="false" outlineLevel="0" collapsed="false">
      <c r="A12" s="5" t="s">
        <v>69</v>
      </c>
      <c r="B12" s="7" t="n">
        <v>0.326203400901427</v>
      </c>
      <c r="C12" s="7" t="n">
        <v>0.0142648931496322</v>
      </c>
      <c r="D12" s="13" t="n">
        <v>0.240906842439639</v>
      </c>
      <c r="E12" s="7" t="n">
        <v>0.00809614721636847</v>
      </c>
      <c r="F12" s="8" t="n">
        <f aca="false">IF(B12=0,"",D12/B12-1)</f>
        <v>-0.261482738150739</v>
      </c>
      <c r="G12" s="6"/>
      <c r="H12" s="5"/>
    </row>
    <row r="13" customFormat="false" ht="15" hidden="false" customHeight="false" outlineLevel="0" collapsed="false">
      <c r="A13" s="5" t="s">
        <v>70</v>
      </c>
      <c r="B13" s="7" t="n">
        <v>0.144468598011641</v>
      </c>
      <c r="C13" s="7" t="n">
        <v>0.0121172907280408</v>
      </c>
      <c r="D13" s="13" t="n">
        <v>0.142736857674104</v>
      </c>
      <c r="E13" s="7" t="n">
        <v>0.00985464800867554</v>
      </c>
      <c r="F13" s="8" t="n">
        <f aca="false">IF(B13=0,"",D13/B13-1)</f>
        <v>-0.0119869671428358</v>
      </c>
      <c r="G13" s="6"/>
      <c r="H13" s="5"/>
    </row>
    <row r="14" customFormat="false" ht="15" hidden="false" customHeight="false" outlineLevel="0" collapsed="false">
      <c r="A14" s="5" t="s">
        <v>71</v>
      </c>
      <c r="B14" s="7" t="n">
        <v>0.165625</v>
      </c>
      <c r="C14" s="7" t="n">
        <v>0.106571205656125</v>
      </c>
      <c r="D14" s="13" t="n">
        <v>0.134375</v>
      </c>
      <c r="E14" s="7" t="n">
        <v>0.0654760213742405</v>
      </c>
      <c r="F14" s="8" t="n">
        <f aca="false">IF(B14=0,"",D14/B14-1)</f>
        <v>-0.188679245283019</v>
      </c>
      <c r="G14" s="6"/>
      <c r="H14" s="5" t="s">
        <v>63</v>
      </c>
    </row>
    <row r="15" customFormat="false" ht="15" hidden="false" customHeight="false" outlineLevel="0" collapsed="false">
      <c r="A15" s="5" t="s">
        <v>72</v>
      </c>
      <c r="B15" s="7" t="n">
        <v>0.317174222284547</v>
      </c>
      <c r="C15" s="7" t="n">
        <v>0.0137712373527726</v>
      </c>
      <c r="D15" s="13" t="n">
        <v>0.235998892846067</v>
      </c>
      <c r="E15" s="7" t="n">
        <v>0.00798540832343343</v>
      </c>
      <c r="F15" s="8" t="n">
        <f aca="false">IF(B15=0,"",D15/B15-1)</f>
        <v>-0.255932934441485</v>
      </c>
      <c r="G15" s="6"/>
      <c r="H15" s="5"/>
    </row>
    <row r="16" customFormat="false" ht="15" hidden="false" customHeight="false" outlineLevel="0" collapsed="false">
      <c r="A16" s="5" t="s">
        <v>73</v>
      </c>
      <c r="B16" s="7" t="n">
        <v>0.331804254247681</v>
      </c>
      <c r="C16" s="7" t="n">
        <v>0.0142684938105662</v>
      </c>
      <c r="D16" s="13" t="n">
        <v>0.250335847898947</v>
      </c>
      <c r="E16" s="7" t="n">
        <v>0.0086540438768751</v>
      </c>
      <c r="F16" s="8" t="n">
        <f aca="false">IF(B16=0,"",D16/B16-1)</f>
        <v>-0.24553153043035</v>
      </c>
      <c r="G16" s="6" t="s">
        <v>136</v>
      </c>
      <c r="H16" s="5"/>
    </row>
    <row r="17" customFormat="false" ht="15" hidden="false" customHeight="false" outlineLevel="0" collapsed="false">
      <c r="A17" s="5" t="s">
        <v>117</v>
      </c>
      <c r="B17" s="6" t="str">
        <f aca="false">IF(B13&lt;=B12,"pass (amb n/a)","fail (amb n/a)")</f>
        <v>pass (amb n/a)</v>
      </c>
      <c r="C17" s="6"/>
      <c r="D17" s="6" t="str">
        <f aca="false">IF(D13&lt;=D12,"pass (amb n/a)","fail (amb n/a)")</f>
        <v>pass (amb n/a)</v>
      </c>
      <c r="E17" s="6"/>
      <c r="F17" s="6"/>
      <c r="G17" s="6"/>
      <c r="H17" s="5" t="s">
        <v>118</v>
      </c>
    </row>
    <row r="19" customFormat="false" ht="15" hidden="false" customHeight="false" outlineLevel="0" collapsed="false">
      <c r="A19" s="12" t="s">
        <v>137</v>
      </c>
      <c r="B19" s="12"/>
      <c r="C19" s="12"/>
      <c r="D19" s="12"/>
      <c r="E19" s="12"/>
      <c r="F19" s="12"/>
      <c r="G19" s="12"/>
      <c r="H19" s="12"/>
    </row>
    <row r="20" customFormat="false" ht="15" hidden="false" customHeight="false" outlineLevel="0" collapsed="false">
      <c r="A20" s="3" t="s">
        <v>120</v>
      </c>
      <c r="B20" s="4" t="s">
        <v>79</v>
      </c>
      <c r="C20" s="4" t="s">
        <v>80</v>
      </c>
      <c r="D20" s="4" t="s">
        <v>81</v>
      </c>
      <c r="E20" s="4" t="s">
        <v>82</v>
      </c>
      <c r="F20" s="4" t="s">
        <v>83</v>
      </c>
      <c r="G20" s="4" t="s">
        <v>85</v>
      </c>
      <c r="H20" s="3" t="s">
        <v>86</v>
      </c>
      <c r="I20" s="4" t="s">
        <v>87</v>
      </c>
      <c r="J20" s="4" t="s">
        <v>89</v>
      </c>
      <c r="K20" s="4" t="s">
        <v>90</v>
      </c>
    </row>
    <row r="21" customFormat="false" ht="15" hidden="false" customHeight="false" outlineLevel="0" collapsed="false">
      <c r="A21" s="5" t="s">
        <v>121</v>
      </c>
      <c r="B21" s="7" t="n">
        <v>2.5</v>
      </c>
      <c r="C21" s="7" t="n">
        <v>0</v>
      </c>
      <c r="D21" s="7" t="n">
        <v>5</v>
      </c>
      <c r="E21" s="7" t="n">
        <v>0</v>
      </c>
      <c r="F21" s="7" t="n">
        <v>2.5</v>
      </c>
      <c r="G21" s="7" t="n">
        <v>0</v>
      </c>
      <c r="H21" s="10" t="n">
        <v>0</v>
      </c>
      <c r="I21" s="7" t="n">
        <v>0</v>
      </c>
      <c r="J21" s="7" t="n">
        <f aca="false">AVERAGE(B21:I21)</f>
        <v>1.25</v>
      </c>
      <c r="K21" s="7" t="n">
        <f aca="false">STDEV(B21:I21)</f>
        <v>1.88982236504614</v>
      </c>
    </row>
    <row r="22" customFormat="false" ht="15" hidden="false" customHeight="false" outlineLevel="0" collapsed="false">
      <c r="A22" s="5" t="s">
        <v>122</v>
      </c>
      <c r="B22" s="7" t="n">
        <v>2.5</v>
      </c>
      <c r="C22" s="7" t="n">
        <v>5</v>
      </c>
      <c r="D22" s="7" t="n">
        <v>0</v>
      </c>
      <c r="E22" s="7" t="n">
        <v>0</v>
      </c>
      <c r="F22" s="7" t="n">
        <v>0</v>
      </c>
      <c r="G22" s="7" t="n">
        <v>0</v>
      </c>
      <c r="H22" s="10" t="n">
        <v>2.5</v>
      </c>
      <c r="I22" s="7" t="n">
        <v>0</v>
      </c>
      <c r="J22" s="7" t="n">
        <f aca="false">AVERAGE(B22:I22)</f>
        <v>1.25</v>
      </c>
      <c r="K22" s="7" t="n">
        <f aca="false">STDEV(B22:I22)</f>
        <v>1.88982236504614</v>
      </c>
    </row>
    <row r="23" customFormat="false" ht="15" hidden="false" customHeight="false" outlineLevel="0" collapsed="false">
      <c r="A23" s="5" t="s">
        <v>123</v>
      </c>
      <c r="B23" s="7" t="n">
        <v>0.5</v>
      </c>
      <c r="C23" s="7" t="n">
        <v>0</v>
      </c>
      <c r="D23" s="7" t="n">
        <v>0.5</v>
      </c>
      <c r="E23" s="7" t="n">
        <v>0</v>
      </c>
      <c r="F23" s="7" t="n">
        <v>0.5</v>
      </c>
      <c r="G23" s="7" t="n">
        <v>0</v>
      </c>
      <c r="H23" s="10" t="n">
        <v>0</v>
      </c>
      <c r="I23" s="7" t="n">
        <v>0</v>
      </c>
      <c r="J23" s="7" t="n">
        <f aca="false">AVERAGE(B23:I23)</f>
        <v>0.1875</v>
      </c>
      <c r="K23" s="7" t="n">
        <f aca="false">STDEV(B23:I23)</f>
        <v>0.258774584753383</v>
      </c>
    </row>
    <row r="24" customFormat="false" ht="15" hidden="false" customHeight="false" outlineLevel="0" collapsed="false">
      <c r="A24" s="5" t="s">
        <v>124</v>
      </c>
      <c r="B24" s="7" t="n">
        <v>0.5</v>
      </c>
      <c r="C24" s="7" t="n">
        <v>0.5</v>
      </c>
      <c r="D24" s="7" t="n">
        <v>0</v>
      </c>
      <c r="E24" s="7" t="n">
        <v>0</v>
      </c>
      <c r="F24" s="7" t="n">
        <v>0</v>
      </c>
      <c r="G24" s="7" t="n">
        <v>0</v>
      </c>
      <c r="H24" s="10" t="n">
        <v>0.5</v>
      </c>
      <c r="I24" s="7" t="n">
        <v>0</v>
      </c>
      <c r="J24" s="7" t="n">
        <f aca="false">AVERAGE(B24:I24)</f>
        <v>0.1875</v>
      </c>
      <c r="K24" s="7" t="n">
        <f aca="false">STDEV(B24:I24)</f>
        <v>0.258774584753383</v>
      </c>
    </row>
    <row r="25" customFormat="false" ht="15" hidden="false" customHeight="false" outlineLevel="0" collapsed="false">
      <c r="A25" s="5" t="s">
        <v>125</v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10" t="n">
        <v>2.5</v>
      </c>
      <c r="I25" s="7" t="n">
        <v>0</v>
      </c>
      <c r="J25" s="7" t="n">
        <f aca="false">AVERAGE(B25:I25)</f>
        <v>0.3125</v>
      </c>
      <c r="K25" s="7" t="n">
        <f aca="false">STDEV(B25:I25)</f>
        <v>0.883883476483184</v>
      </c>
    </row>
    <row r="26" customFormat="false" ht="15" hidden="false" customHeight="false" outlineLevel="0" collapsed="false">
      <c r="A26" s="5" t="s">
        <v>126</v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10" t="n">
        <v>0</v>
      </c>
      <c r="I26" s="7" t="n">
        <v>2.5</v>
      </c>
      <c r="J26" s="7" t="n">
        <f aca="false">AVERAGE(B26:I26)</f>
        <v>0.3125</v>
      </c>
      <c r="K26" s="7" t="n">
        <f aca="false">STDEV(B26:I26)</f>
        <v>0.883883476483184</v>
      </c>
    </row>
    <row r="27" customFormat="false" ht="15" hidden="false" customHeight="false" outlineLevel="0" collapsed="false">
      <c r="A27" s="5" t="s">
        <v>127</v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10" t="n">
        <v>0.5</v>
      </c>
      <c r="I27" s="7" t="n">
        <v>0</v>
      </c>
      <c r="J27" s="7" t="n">
        <f aca="false">AVERAGE(B27:I27)</f>
        <v>0.0625</v>
      </c>
      <c r="K27" s="7" t="n">
        <f aca="false">STDEV(B27:I27)</f>
        <v>0.176776695296637</v>
      </c>
    </row>
    <row r="28" customFormat="false" ht="15" hidden="false" customHeight="false" outlineLevel="0" collapsed="false">
      <c r="A28" s="5" t="s">
        <v>128</v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10" t="n">
        <v>0</v>
      </c>
      <c r="I28" s="7" t="n">
        <v>0.5</v>
      </c>
      <c r="J28" s="7" t="n">
        <f aca="false">AVERAGE(B28:I28)</f>
        <v>0.0625</v>
      </c>
      <c r="K28" s="7" t="n">
        <f aca="false">STDEV(B28:I28)</f>
        <v>0.176776695296637</v>
      </c>
    </row>
    <row r="29" customFormat="false" ht="15" hidden="false" customHeight="false" outlineLevel="0" collapsed="false">
      <c r="A29" s="5" t="s">
        <v>129</v>
      </c>
      <c r="B29" s="6" t="str">
        <f aca="false">SUMPRODUCT(--(B21:I21&lt;B22:I22))&amp;" / "&amp;SUMPRODUCT(--(B21:I21=B22:I22))&amp;" (of 8)"</f>
        <v>2 / 4 (of 8)</v>
      </c>
    </row>
    <row r="30" customFormat="false" ht="15" hidden="false" customHeight="false" outlineLevel="0" collapsed="false">
      <c r="A30" s="5" t="s">
        <v>130</v>
      </c>
      <c r="B30" s="6" t="str">
        <f aca="false">SUMPRODUCT(--(B23:I23&lt;B24:I24))&amp;" / "&amp;SUMPRODUCT(--(B23:I23=B24:I24))&amp;" (of 8)"</f>
        <v>2 / 4 (of 8)</v>
      </c>
    </row>
    <row r="31" customFormat="false" ht="15" hidden="false" customHeight="false" outlineLevel="0" collapsed="false">
      <c r="A31" s="5" t="s">
        <v>131</v>
      </c>
      <c r="B31" s="6" t="str">
        <f aca="false">SUMPRODUCT(--(B25:I25&lt;B26:I26))&amp;" / "&amp;SUMPRODUCT(--(B25:I25=B26:I26))&amp;" (of 8)"</f>
        <v>1 / 6 (of 8)</v>
      </c>
    </row>
    <row r="32" customFormat="false" ht="15" hidden="false" customHeight="false" outlineLevel="0" collapsed="false">
      <c r="A32" s="5" t="s">
        <v>132</v>
      </c>
      <c r="B32" s="6" t="str">
        <f aca="false">SUMPRODUCT(--(B27:I27&lt;B28:I28))&amp;" / "&amp;SUMPRODUCT(--(B27:I27=B28:I28))&amp;" (of 8)"</f>
        <v>1 / 6 (of 8)</v>
      </c>
    </row>
    <row r="35" customFormat="false" ht="15" hidden="false" customHeight="false" outlineLevel="0" collapsed="false">
      <c r="A35" s="1" t="s">
        <v>138</v>
      </c>
    </row>
    <row r="36" customFormat="false" ht="15" hidden="false" customHeight="false" outlineLevel="0" collapsed="false">
      <c r="A36" s="11" t="s">
        <v>139</v>
      </c>
    </row>
    <row r="38" customFormat="false" ht="15" hidden="false" customHeight="false" outlineLevel="0" collapsed="false">
      <c r="A38" s="12" t="s">
        <v>140</v>
      </c>
      <c r="B38" s="12"/>
      <c r="C38" s="12"/>
      <c r="D38" s="12"/>
      <c r="E38" s="12"/>
      <c r="F38" s="12"/>
      <c r="G38" s="12"/>
      <c r="H38" s="12"/>
    </row>
    <row r="39" customFormat="false" ht="15" hidden="false" customHeight="false" outlineLevel="0" collapsed="false">
      <c r="A39" s="3" t="s">
        <v>52</v>
      </c>
      <c r="B39" s="4" t="s">
        <v>53</v>
      </c>
      <c r="C39" s="4" t="s">
        <v>54</v>
      </c>
      <c r="D39" s="4" t="s">
        <v>55</v>
      </c>
      <c r="E39" s="4" t="s">
        <v>56</v>
      </c>
      <c r="F39" s="4" t="s">
        <v>57</v>
      </c>
      <c r="G39" s="4" t="s">
        <v>58</v>
      </c>
      <c r="H39" s="3" t="s">
        <v>59</v>
      </c>
    </row>
    <row r="40" customFormat="false" ht="15" hidden="false" customHeight="false" outlineLevel="0" collapsed="false">
      <c r="A40" s="5" t="s">
        <v>60</v>
      </c>
      <c r="B40" s="7" t="n">
        <v>2.73942673430051</v>
      </c>
      <c r="C40" s="7" t="n">
        <v>0.238178760790997</v>
      </c>
      <c r="D40" s="13" t="n">
        <v>1.97758376560133</v>
      </c>
      <c r="E40" s="7" t="n">
        <v>0.151414206765141</v>
      </c>
      <c r="F40" s="8" t="n">
        <f aca="false">IF(B40=0,"",D40/B40-1)</f>
        <v>-0.278103064104655</v>
      </c>
      <c r="G40" s="6"/>
      <c r="H40" s="5"/>
    </row>
    <row r="41" customFormat="false" ht="15" hidden="false" customHeight="false" outlineLevel="0" collapsed="false">
      <c r="A41" s="5" t="s">
        <v>61</v>
      </c>
      <c r="B41" s="7" t="n">
        <v>1.09143289727408</v>
      </c>
      <c r="C41" s="7" t="n">
        <v>0.0974830673067975</v>
      </c>
      <c r="D41" s="13" t="n">
        <v>1.00614878135162</v>
      </c>
      <c r="E41" s="7" t="n">
        <v>0.0534967852773724</v>
      </c>
      <c r="F41" s="8" t="n">
        <f aca="false">IF(B41=0,"",D41/B41-1)</f>
        <v>-0.0781395870836048</v>
      </c>
      <c r="G41" s="6"/>
      <c r="H41" s="5"/>
    </row>
    <row r="42" customFormat="false" ht="15" hidden="false" customHeight="false" outlineLevel="0" collapsed="false">
      <c r="A42" s="5" t="s">
        <v>62</v>
      </c>
      <c r="B42" s="7" t="n">
        <v>1.60416666666667</v>
      </c>
      <c r="C42" s="7" t="n">
        <v>1.47054411698527</v>
      </c>
      <c r="D42" s="13" t="n">
        <v>0.789583333333333</v>
      </c>
      <c r="E42" s="7" t="n">
        <v>0.507534378966916</v>
      </c>
      <c r="F42" s="8" t="n">
        <f aca="false">IF(B42=0,"",D42/B42-1)</f>
        <v>-0.507792207792208</v>
      </c>
      <c r="G42" s="6"/>
      <c r="H42" s="5" t="s">
        <v>63</v>
      </c>
    </row>
    <row r="43" customFormat="false" ht="15" hidden="false" customHeight="false" outlineLevel="0" collapsed="false">
      <c r="A43" s="5" t="s">
        <v>64</v>
      </c>
      <c r="B43" s="7" t="n">
        <v>2.65781293270989</v>
      </c>
      <c r="C43" s="7" t="n">
        <v>0.229373210533129</v>
      </c>
      <c r="D43" s="13" t="n">
        <v>1.92889250624194</v>
      </c>
      <c r="E43" s="7" t="n">
        <v>0.144789970141345</v>
      </c>
      <c r="F43" s="8" t="n">
        <f aca="false">IF(B43=0,"",D43/B43-1)</f>
        <v>-0.274255730152066</v>
      </c>
      <c r="G43" s="6"/>
      <c r="H43" s="5"/>
    </row>
    <row r="44" customFormat="false" ht="15" hidden="false" customHeight="false" outlineLevel="0" collapsed="false">
      <c r="A44" s="5" t="s">
        <v>65</v>
      </c>
      <c r="B44" s="7" t="n">
        <v>2.76959314951954</v>
      </c>
      <c r="C44" s="7" t="n">
        <v>0.235862529830526</v>
      </c>
      <c r="D44" s="13" t="n">
        <v>2.02964186697718</v>
      </c>
      <c r="E44" s="7" t="n">
        <v>0.146949584306079</v>
      </c>
      <c r="F44" s="8" t="n">
        <f aca="false">IF(B44=0,"",D44/B44-1)</f>
        <v>-0.267169668104763</v>
      </c>
      <c r="G44" s="6" t="s">
        <v>116</v>
      </c>
      <c r="H44" s="5"/>
    </row>
    <row r="45" customFormat="false" ht="15" hidden="false" customHeight="false" outlineLevel="0" collapsed="false">
      <c r="A45" s="5" t="s">
        <v>67</v>
      </c>
      <c r="B45" s="6" t="str">
        <f aca="false">IF(AND(B42&lt;=B41,B41&lt;=B40),"pass",IF(AND(B42-B41&lt;=5,B41-B40&lt;=5),"pass (tol. 5 s)","fail"))</f>
        <v>pass (tol. 5 s)</v>
      </c>
      <c r="C45" s="6"/>
      <c r="D45" s="6" t="str">
        <f aca="false">IF(AND(D42&lt;=D41,D41&lt;=D40),"pass",IF(AND(D42-D41&lt;=5,D41-D40&lt;=5),"pass (tol. 5 s)","fail"))</f>
        <v>pass</v>
      </c>
      <c r="E45" s="6"/>
      <c r="F45" s="6"/>
      <c r="G45" s="6"/>
      <c r="H45" s="5" t="s">
        <v>68</v>
      </c>
    </row>
    <row r="46" customFormat="false" ht="15" hidden="false" customHeight="false" outlineLevel="0" collapsed="false">
      <c r="A46" s="5" t="s">
        <v>69</v>
      </c>
      <c r="B46" s="7" t="n">
        <v>0.323001736427305</v>
      </c>
      <c r="C46" s="7" t="n">
        <v>0.0151267930497383</v>
      </c>
      <c r="D46" s="13" t="n">
        <v>0.240540474022652</v>
      </c>
      <c r="E46" s="7" t="n">
        <v>0.00728376369051409</v>
      </c>
      <c r="F46" s="8" t="n">
        <f aca="false">IF(B46=0,"",D46/B46-1)</f>
        <v>-0.255296653562144</v>
      </c>
      <c r="G46" s="6"/>
      <c r="H46" s="5"/>
    </row>
    <row r="47" customFormat="false" ht="15" hidden="false" customHeight="false" outlineLevel="0" collapsed="false">
      <c r="A47" s="5" t="s">
        <v>70</v>
      </c>
      <c r="B47" s="7" t="n">
        <v>0.145120742732053</v>
      </c>
      <c r="C47" s="7" t="n">
        <v>0.0116606938127742</v>
      </c>
      <c r="D47" s="13" t="n">
        <v>0.14425790431115</v>
      </c>
      <c r="E47" s="7" t="n">
        <v>0.0104947587311396</v>
      </c>
      <c r="F47" s="8" t="n">
        <f aca="false">IF(B47=0,"",D47/B47-1)</f>
        <v>-0.00594565879873499</v>
      </c>
      <c r="G47" s="6"/>
      <c r="H47" s="5"/>
    </row>
    <row r="48" customFormat="false" ht="15" hidden="false" customHeight="false" outlineLevel="0" collapsed="false">
      <c r="A48" s="5" t="s">
        <v>71</v>
      </c>
      <c r="B48" s="7" t="n">
        <v>0.177083333333333</v>
      </c>
      <c r="C48" s="7" t="n">
        <v>0.0996216802039931</v>
      </c>
      <c r="D48" s="13" t="n">
        <v>0.129166666666667</v>
      </c>
      <c r="E48" s="7" t="n">
        <v>0.0767164693313415</v>
      </c>
      <c r="F48" s="8" t="n">
        <f aca="false">IF(B48=0,"",D48/B48-1)</f>
        <v>-0.270588235294117</v>
      </c>
      <c r="G48" s="6"/>
      <c r="H48" s="5" t="s">
        <v>63</v>
      </c>
    </row>
    <row r="49" customFormat="false" ht="15" hidden="false" customHeight="false" outlineLevel="0" collapsed="false">
      <c r="A49" s="5" t="s">
        <v>72</v>
      </c>
      <c r="B49" s="7" t="n">
        <v>0.314170376581005</v>
      </c>
      <c r="C49" s="7" t="n">
        <v>0.0144439798355404</v>
      </c>
      <c r="D49" s="13" t="n">
        <v>0.235720652615393</v>
      </c>
      <c r="E49" s="7" t="n">
        <v>0.00716402249081583</v>
      </c>
      <c r="F49" s="8" t="n">
        <f aca="false">IF(B49=0,"",D49/B49-1)</f>
        <v>-0.249704395491866</v>
      </c>
      <c r="G49" s="6"/>
      <c r="H49" s="5"/>
    </row>
    <row r="50" customFormat="false" ht="15" hidden="false" customHeight="false" outlineLevel="0" collapsed="false">
      <c r="A50" s="5" t="s">
        <v>73</v>
      </c>
      <c r="B50" s="7" t="n">
        <v>0.328901152222286</v>
      </c>
      <c r="C50" s="7" t="n">
        <v>0.0146451476898401</v>
      </c>
      <c r="D50" s="13" t="n">
        <v>0.250188020397275</v>
      </c>
      <c r="E50" s="7" t="n">
        <v>0.00777152208793024</v>
      </c>
      <c r="F50" s="8" t="n">
        <f aca="false">IF(B50=0,"",D50/B50-1)</f>
        <v>-0.239321544765564</v>
      </c>
      <c r="G50" s="6" t="s">
        <v>116</v>
      </c>
      <c r="H50" s="5"/>
    </row>
    <row r="51" customFormat="false" ht="15" hidden="false" customHeight="false" outlineLevel="0" collapsed="false">
      <c r="A51" s="5" t="s">
        <v>117</v>
      </c>
      <c r="B51" s="6" t="str">
        <f aca="false">IF(B47&lt;=B46,"pass (amb n/a)","fail (amb n/a)")</f>
        <v>pass (amb n/a)</v>
      </c>
      <c r="C51" s="6"/>
      <c r="D51" s="6" t="str">
        <f aca="false">IF(D47&lt;=D46,"pass (amb n/a)","fail (amb n/a)")</f>
        <v>pass (amb n/a)</v>
      </c>
      <c r="E51" s="6"/>
      <c r="F51" s="6"/>
      <c r="G51" s="6"/>
      <c r="H51" s="5" t="s">
        <v>118</v>
      </c>
    </row>
    <row r="54" customFormat="false" ht="15" hidden="false" customHeight="false" outlineLevel="0" collapsed="false">
      <c r="A54" s="12" t="s">
        <v>141</v>
      </c>
      <c r="B54" s="12"/>
      <c r="C54" s="12"/>
      <c r="D54" s="12"/>
      <c r="E54" s="12"/>
      <c r="F54" s="12"/>
      <c r="G54" s="12"/>
      <c r="H54" s="12"/>
    </row>
    <row r="55" customFormat="false" ht="15" hidden="false" customHeight="false" outlineLevel="0" collapsed="false">
      <c r="A55" s="3" t="s">
        <v>52</v>
      </c>
      <c r="B55" s="4" t="s">
        <v>53</v>
      </c>
      <c r="C55" s="4" t="s">
        <v>54</v>
      </c>
      <c r="D55" s="4" t="s">
        <v>55</v>
      </c>
      <c r="E55" s="4" t="s">
        <v>56</v>
      </c>
      <c r="F55" s="4" t="s">
        <v>57</v>
      </c>
      <c r="G55" s="4" t="s">
        <v>58</v>
      </c>
      <c r="H55" s="3" t="s">
        <v>59</v>
      </c>
    </row>
    <row r="56" customFormat="false" ht="15" hidden="false" customHeight="false" outlineLevel="0" collapsed="false">
      <c r="A56" s="5" t="s">
        <v>60</v>
      </c>
      <c r="B56" s="7" t="n">
        <v>4.95</v>
      </c>
      <c r="C56" s="7" t="n">
        <v>1.24</v>
      </c>
      <c r="D56" s="13" t="n">
        <v>2.44</v>
      </c>
      <c r="E56" s="7" t="n">
        <v>0.32</v>
      </c>
      <c r="F56" s="8" t="n">
        <f aca="false">IF(B56=0,"",D56/B56-1)</f>
        <v>-0.507070707070707</v>
      </c>
      <c r="G56" s="6"/>
      <c r="H56" s="5"/>
    </row>
    <row r="57" customFormat="false" ht="15" hidden="false" customHeight="false" outlineLevel="0" collapsed="false">
      <c r="A57" s="5" t="s">
        <v>61</v>
      </c>
      <c r="B57" s="7" t="n">
        <v>1.26</v>
      </c>
      <c r="C57" s="7" t="n">
        <v>0.18</v>
      </c>
      <c r="D57" s="13" t="n">
        <v>1.06</v>
      </c>
      <c r="E57" s="7" t="n">
        <v>0.14</v>
      </c>
      <c r="F57" s="8" t="n">
        <f aca="false">IF(B57=0,"",D57/B57-1)</f>
        <v>-0.158730158730159</v>
      </c>
      <c r="G57" s="6"/>
      <c r="H57" s="5"/>
    </row>
    <row r="58" customFormat="false" ht="15" hidden="false" customHeight="false" outlineLevel="0" collapsed="false">
      <c r="A58" s="5" t="s">
        <v>62</v>
      </c>
      <c r="B58" s="13" t="n">
        <v>0.9</v>
      </c>
      <c r="C58" s="7" t="n">
        <v>0.69</v>
      </c>
      <c r="D58" s="7" t="n">
        <v>0.92</v>
      </c>
      <c r="E58" s="7" t="n">
        <v>0.48</v>
      </c>
      <c r="F58" s="8" t="n">
        <f aca="false">IF(B58=0,"",D58/B58-1)</f>
        <v>0.0222222222222221</v>
      </c>
      <c r="G58" s="6"/>
      <c r="H58" s="5" t="s">
        <v>63</v>
      </c>
    </row>
    <row r="59" customFormat="false" ht="15" hidden="false" customHeight="false" outlineLevel="0" collapsed="false">
      <c r="A59" s="5" t="s">
        <v>64</v>
      </c>
      <c r="B59" s="7" t="n">
        <v>4.75</v>
      </c>
      <c r="C59" s="7" t="n">
        <v>1.17</v>
      </c>
      <c r="D59" s="13" t="n">
        <v>2.38</v>
      </c>
      <c r="E59" s="7" t="n">
        <v>0.31</v>
      </c>
      <c r="F59" s="8" t="n">
        <f aca="false">IF(B59=0,"",D59/B59-1)</f>
        <v>-0.498947368421053</v>
      </c>
      <c r="G59" s="6"/>
      <c r="H59" s="5"/>
    </row>
    <row r="60" customFormat="false" ht="15" hidden="false" customHeight="false" outlineLevel="0" collapsed="false">
      <c r="A60" s="5" t="s">
        <v>65</v>
      </c>
      <c r="B60" s="7" t="n">
        <v>4.89</v>
      </c>
      <c r="C60" s="7" t="n">
        <v>1.18</v>
      </c>
      <c r="D60" s="13" t="n">
        <v>2.48</v>
      </c>
      <c r="E60" s="7" t="n">
        <v>0.31</v>
      </c>
      <c r="F60" s="8" t="n">
        <f aca="false">IF(B60=0,"",D60/B60-1)</f>
        <v>-0.492842535787321</v>
      </c>
      <c r="G60" s="6" t="s">
        <v>142</v>
      </c>
      <c r="H60" s="5"/>
    </row>
    <row r="61" customFormat="false" ht="15" hidden="false" customHeight="false" outlineLevel="0" collapsed="false">
      <c r="A61" s="5" t="s">
        <v>67</v>
      </c>
      <c r="B61" s="6" t="str">
        <f aca="false">IF(AND(B58&lt;=B57,B57&lt;=B56),"pass",IF(AND(B58-B57&lt;=5,B57-B56&lt;=5),"pass (tol. 5 s)","fail"))</f>
        <v>pass</v>
      </c>
      <c r="C61" s="6"/>
      <c r="D61" s="6" t="str">
        <f aca="false">IF(AND(D58&lt;=D57,D57&lt;=D56),"pass",IF(AND(D58-D57&lt;=5,D57-D56&lt;=5),"pass (tol. 5 s)","fail"))</f>
        <v>pass</v>
      </c>
      <c r="E61" s="6"/>
      <c r="F61" s="6"/>
      <c r="G61" s="6"/>
      <c r="H61" s="5" t="s">
        <v>68</v>
      </c>
    </row>
    <row r="62" customFormat="false" ht="15" hidden="false" customHeight="false" outlineLevel="0" collapsed="false">
      <c r="A62" s="5" t="s">
        <v>69</v>
      </c>
      <c r="B62" s="7" t="n">
        <v>0.57</v>
      </c>
      <c r="C62" s="7" t="n">
        <v>0.09</v>
      </c>
      <c r="D62" s="13" t="n">
        <v>0.27</v>
      </c>
      <c r="E62" s="7" t="n">
        <v>0.03</v>
      </c>
      <c r="F62" s="8" t="n">
        <f aca="false">IF(B62=0,"",D62/B62-1)</f>
        <v>-0.526315789473684</v>
      </c>
      <c r="G62" s="6"/>
      <c r="H62" s="5"/>
    </row>
    <row r="63" customFormat="false" ht="15" hidden="false" customHeight="false" outlineLevel="0" collapsed="false">
      <c r="A63" s="5" t="s">
        <v>70</v>
      </c>
      <c r="B63" s="7" t="n">
        <v>0.18</v>
      </c>
      <c r="C63" s="7" t="n">
        <v>0.02</v>
      </c>
      <c r="D63" s="13" t="n">
        <v>0.15</v>
      </c>
      <c r="E63" s="7" t="n">
        <v>0.02</v>
      </c>
      <c r="F63" s="8" t="n">
        <f aca="false">IF(B63=0,"",D63/B63-1)</f>
        <v>-0.166666666666667</v>
      </c>
      <c r="G63" s="6"/>
      <c r="H63" s="5"/>
    </row>
    <row r="64" customFormat="false" ht="15" hidden="false" customHeight="false" outlineLevel="0" collapsed="false">
      <c r="A64" s="5" t="s">
        <v>71</v>
      </c>
      <c r="B64" s="13" t="n">
        <v>0.14</v>
      </c>
      <c r="C64" s="7" t="n">
        <v>0.1</v>
      </c>
      <c r="D64" s="7" t="n">
        <v>0.15</v>
      </c>
      <c r="E64" s="7" t="n">
        <v>0.07</v>
      </c>
      <c r="F64" s="8" t="n">
        <f aca="false">IF(B64=0,"",D64/B64-1)</f>
        <v>0.0714285714285714</v>
      </c>
      <c r="G64" s="6"/>
      <c r="H64" s="5" t="s">
        <v>63</v>
      </c>
    </row>
    <row r="65" customFormat="false" ht="15" hidden="false" customHeight="false" outlineLevel="0" collapsed="false">
      <c r="A65" s="5" t="s">
        <v>72</v>
      </c>
      <c r="B65" s="7" t="n">
        <v>0.55</v>
      </c>
      <c r="C65" s="7" t="n">
        <v>0.09</v>
      </c>
      <c r="D65" s="13" t="n">
        <v>0.27</v>
      </c>
      <c r="E65" s="7" t="n">
        <v>0.03</v>
      </c>
      <c r="F65" s="8" t="n">
        <f aca="false">IF(B65=0,"",D65/B65-1)</f>
        <v>-0.509090909090909</v>
      </c>
      <c r="G65" s="6"/>
      <c r="H65" s="5"/>
    </row>
    <row r="66" customFormat="false" ht="15" hidden="false" customHeight="false" outlineLevel="0" collapsed="false">
      <c r="A66" s="5" t="s">
        <v>73</v>
      </c>
      <c r="B66" s="7" t="n">
        <v>0.566</v>
      </c>
      <c r="C66" s="7" t="n">
        <v>0.091</v>
      </c>
      <c r="D66" s="13" t="n">
        <v>0.281</v>
      </c>
      <c r="E66" s="7" t="n">
        <v>0.027</v>
      </c>
      <c r="F66" s="8" t="n">
        <f aca="false">IF(B66=0,"",D66/B66-1)</f>
        <v>-0.503533568904594</v>
      </c>
      <c r="G66" s="6" t="s">
        <v>142</v>
      </c>
      <c r="H66" s="5"/>
    </row>
    <row r="67" customFormat="false" ht="15" hidden="false" customHeight="false" outlineLevel="0" collapsed="false">
      <c r="A67" s="5" t="s">
        <v>117</v>
      </c>
      <c r="B67" s="6" t="str">
        <f aca="false">IF(B63&lt;=B62,"pass (amb n/a)","fail (amb n/a)")</f>
        <v>pass (amb n/a)</v>
      </c>
      <c r="C67" s="6"/>
      <c r="D67" s="6" t="str">
        <f aca="false">IF(D63&lt;=D62,"pass (amb n/a)","fail (amb n/a)")</f>
        <v>pass (amb n/a)</v>
      </c>
      <c r="E67" s="6"/>
      <c r="F67" s="6"/>
      <c r="G67" s="6"/>
      <c r="H67" s="5" t="s">
        <v>118</v>
      </c>
    </row>
    <row r="68" customFormat="false" ht="15" hidden="false" customHeight="false" outlineLevel="0" collapsed="false">
      <c r="A68" s="14" t="s">
        <v>143</v>
      </c>
      <c r="B68" s="14"/>
      <c r="C68" s="14"/>
      <c r="D68" s="14"/>
      <c r="E68" s="14"/>
      <c r="F68" s="14"/>
      <c r="G68" s="14"/>
      <c r="H68" s="14"/>
    </row>
  </sheetData>
  <mergeCells count="5">
    <mergeCell ref="A4:H4"/>
    <mergeCell ref="A19:H19"/>
    <mergeCell ref="A38:H38"/>
    <mergeCell ref="A54:H54"/>
    <mergeCell ref="A68:H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6"/>
    <col collapsed="false" customWidth="true" hidden="false" outlineLevel="0" max="8" min="8" style="0" width="62"/>
  </cols>
  <sheetData>
    <row r="1" customFormat="false" ht="1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11" t="s">
        <v>145</v>
      </c>
    </row>
    <row r="4" customFormat="false" ht="15" hidden="false" customHeight="false" outlineLevel="0" collapsed="false">
      <c r="A4" s="12" t="s">
        <v>146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customFormat="false" ht="15" hidden="false" customHeight="false" outlineLevel="0" collapsed="false">
      <c r="A5" s="3" t="s">
        <v>52</v>
      </c>
      <c r="B5" s="4" t="s">
        <v>53</v>
      </c>
      <c r="C5" s="4" t="s">
        <v>54</v>
      </c>
      <c r="D5" s="4" t="s">
        <v>147</v>
      </c>
      <c r="E5" s="4" t="s">
        <v>148</v>
      </c>
      <c r="F5" s="4" t="s">
        <v>149</v>
      </c>
      <c r="G5" s="4" t="s">
        <v>150</v>
      </c>
      <c r="H5" s="3" t="s">
        <v>151</v>
      </c>
      <c r="I5" s="4" t="s">
        <v>152</v>
      </c>
      <c r="J5" s="4" t="s">
        <v>153</v>
      </c>
      <c r="K5" s="4" t="s">
        <v>154</v>
      </c>
      <c r="L5" s="4" t="s">
        <v>155</v>
      </c>
      <c r="M5" s="4" t="s">
        <v>59</v>
      </c>
    </row>
    <row r="6" customFormat="false" ht="15" hidden="false" customHeight="false" outlineLevel="0" collapsed="false">
      <c r="A6" s="5" t="s">
        <v>60</v>
      </c>
      <c r="B6" s="7" t="n">
        <v>3.73001567125097</v>
      </c>
      <c r="C6" s="7" t="n">
        <v>0.107439997876835</v>
      </c>
      <c r="D6" s="7" t="n">
        <v>5.91587012221084</v>
      </c>
      <c r="E6" s="7" t="n">
        <v>0.0713323549416866</v>
      </c>
      <c r="F6" s="13" t="n">
        <v>3.13501807898665</v>
      </c>
      <c r="G6" s="7" t="n">
        <v>0.0560653095759933</v>
      </c>
      <c r="H6" s="9" t="n">
        <f aca="false">IF(B6=0,"",D6/B6-1)</f>
        <v>0.586017497944393</v>
      </c>
      <c r="I6" s="8" t="n">
        <f aca="false">IF(B6=0,"",F6/B6-1)</f>
        <v>-0.15951611057569</v>
      </c>
      <c r="J6" s="8" t="n">
        <f aca="false">IF(D6=0,"",F6/D6-1)</f>
        <v>-0.47006644597954</v>
      </c>
      <c r="K6" s="6" t="s">
        <v>156</v>
      </c>
      <c r="L6" s="6" t="s">
        <v>157</v>
      </c>
      <c r="M6" s="6"/>
    </row>
    <row r="7" customFormat="false" ht="15" hidden="false" customHeight="false" outlineLevel="0" collapsed="false">
      <c r="A7" s="5" t="s">
        <v>61</v>
      </c>
      <c r="B7" s="13" t="n">
        <v>1.17274857132071</v>
      </c>
      <c r="C7" s="7" t="n">
        <v>0.0876062253185241</v>
      </c>
      <c r="D7" s="7" t="n">
        <v>1.19151382823872</v>
      </c>
      <c r="E7" s="7" t="n">
        <v>0.0947372869618436</v>
      </c>
      <c r="F7" s="7" t="n">
        <v>1.46115416579231</v>
      </c>
      <c r="G7" s="7" t="n">
        <v>0.109356823634933</v>
      </c>
      <c r="H7" s="9" t="n">
        <f aca="false">IF(B7=0,"",D7/B7-1)</f>
        <v>0.0160010912627864</v>
      </c>
      <c r="I7" s="8" t="n">
        <f aca="false">IF(B7=0,"",F7/B7-1)</f>
        <v>0.245922784750697</v>
      </c>
      <c r="J7" s="8" t="n">
        <f aca="false">IF(D7=0,"",F7/D7-1)</f>
        <v>0.226300636352803</v>
      </c>
      <c r="K7" s="6" t="s">
        <v>158</v>
      </c>
      <c r="L7" s="6" t="s">
        <v>156</v>
      </c>
      <c r="M7" s="6"/>
    </row>
    <row r="8" customFormat="false" ht="15" hidden="false" customHeight="false" outlineLevel="0" collapsed="false">
      <c r="A8" s="5" t="s">
        <v>62</v>
      </c>
      <c r="B8" s="7" t="n">
        <v>1</v>
      </c>
      <c r="C8" s="7" t="n">
        <v>1.22474487139159</v>
      </c>
      <c r="D8" s="7" t="n">
        <v>4.75</v>
      </c>
      <c r="E8" s="7" t="n">
        <v>6.3688696014285</v>
      </c>
      <c r="F8" s="13" t="n">
        <v>0.75</v>
      </c>
      <c r="G8" s="7" t="n">
        <v>1.14564392373896</v>
      </c>
      <c r="H8" s="9" t="n">
        <f aca="false">IF(B8=0,"",D8/B8-1)</f>
        <v>3.75</v>
      </c>
      <c r="I8" s="8" t="n">
        <f aca="false">IF(B8=0,"",F8/B8-1)</f>
        <v>-0.25</v>
      </c>
      <c r="J8" s="8" t="n">
        <f aca="false">IF(D8=0,"",F8/D8-1)</f>
        <v>-0.842105263157895</v>
      </c>
      <c r="K8" s="6" t="s">
        <v>159</v>
      </c>
      <c r="L8" s="6" t="s">
        <v>160</v>
      </c>
      <c r="M8" s="6" t="s">
        <v>161</v>
      </c>
    </row>
    <row r="9" customFormat="false" ht="15" hidden="false" customHeight="false" outlineLevel="0" collapsed="false">
      <c r="A9" s="5" t="s">
        <v>64</v>
      </c>
      <c r="B9" s="7" t="n">
        <v>3.60388839569416</v>
      </c>
      <c r="C9" s="7" t="n">
        <v>0.104299491238072</v>
      </c>
      <c r="D9" s="7" t="n">
        <v>5.68308025928241</v>
      </c>
      <c r="E9" s="7" t="n">
        <v>0.0679779874365291</v>
      </c>
      <c r="F9" s="13" t="n">
        <v>3.05216444071164</v>
      </c>
      <c r="G9" s="7" t="n">
        <v>0.0557717470093855</v>
      </c>
      <c r="H9" s="9" t="n">
        <f aca="false">IF(B9=0,"",D9/B9-1)</f>
        <v>0.57693014746861</v>
      </c>
      <c r="I9" s="8" t="n">
        <f aca="false">IF(B9=0,"",F9/B9-1)</f>
        <v>-0.153091298732144</v>
      </c>
      <c r="J9" s="8" t="n">
        <f aca="false">IF(D9=0,"",F9/D9-1)</f>
        <v>-0.462938353593297</v>
      </c>
      <c r="K9" s="6" t="s">
        <v>156</v>
      </c>
      <c r="L9" s="6" t="s">
        <v>157</v>
      </c>
      <c r="M9" s="6"/>
    </row>
    <row r="10" customFormat="false" ht="15" hidden="false" customHeight="false" outlineLevel="0" collapsed="false">
      <c r="A10" s="5" t="s">
        <v>65</v>
      </c>
      <c r="B10" s="7" t="n">
        <v>3.7211635599533</v>
      </c>
      <c r="C10" s="7" t="n">
        <v>0.107927974125573</v>
      </c>
      <c r="D10" s="7" t="n">
        <v>5.81875981677413</v>
      </c>
      <c r="E10" s="7" t="n">
        <v>0.0701778090176693</v>
      </c>
      <c r="F10" s="13" t="n">
        <v>3.18882418536163</v>
      </c>
      <c r="G10" s="7" t="n">
        <v>0.0607226611636084</v>
      </c>
      <c r="H10" s="9" t="n">
        <f aca="false">IF(B10=0,"",D10/B10-1)</f>
        <v>0.563693646631095</v>
      </c>
      <c r="I10" s="8" t="n">
        <f aca="false">IF(B10=0,"",F10/B10-1)</f>
        <v>-0.143057236268957</v>
      </c>
      <c r="J10" s="8" t="n">
        <f aca="false">IF(D10=0,"",F10/D10-1)</f>
        <v>-0.451975285838574</v>
      </c>
      <c r="K10" s="6" t="s">
        <v>110</v>
      </c>
      <c r="L10" s="6" t="s">
        <v>116</v>
      </c>
      <c r="M10" s="6"/>
    </row>
    <row r="11" customFormat="false" ht="15" hidden="false" customHeight="false" outlineLevel="0" collapsed="false">
      <c r="A11" s="5" t="s">
        <v>67</v>
      </c>
      <c r="B11" s="6" t="str">
        <f aca="false">IF(AND(B8&lt;=B7,B7&lt;=B6),"pass",IF(AND(B8-B7&lt;=5,B7-B6&lt;=5),"pass (tol. 5 s)","fail"))</f>
        <v>pass</v>
      </c>
      <c r="C11" s="6"/>
      <c r="D11" s="6" t="str">
        <f aca="false">IF(AND(D8&lt;=D7,D7&lt;=D6),"pass",IF(AND(D8-D7&lt;=5,D7-D6&lt;=5),"pass (tol. 5 s)","fail"))</f>
        <v>pass (tol. 5 s)</v>
      </c>
      <c r="E11" s="6"/>
      <c r="F11" s="6" t="str">
        <f aca="false">IF(AND(F8&lt;=F7,F7&lt;=F6),"pass",IF(AND(F8-F7&lt;=5,F7-F6&lt;=5),"pass (tol. 5 s)","fail"))</f>
        <v>pass</v>
      </c>
      <c r="G11" s="6"/>
      <c r="H11" s="5"/>
      <c r="I11" s="6"/>
      <c r="J11" s="6"/>
      <c r="K11" s="6"/>
      <c r="L11" s="6"/>
      <c r="M11" s="6"/>
    </row>
    <row r="12" customFormat="false" ht="15" hidden="false" customHeight="false" outlineLevel="0" collapsed="false">
      <c r="A12" s="5" t="s">
        <v>69</v>
      </c>
      <c r="B12" s="7" t="n">
        <v>0.525440011413682</v>
      </c>
      <c r="C12" s="7" t="n">
        <v>0.0162100355248492</v>
      </c>
      <c r="D12" s="7" t="n">
        <v>0.750114777072293</v>
      </c>
      <c r="E12" s="7" t="n">
        <v>0.0138254449331872</v>
      </c>
      <c r="F12" s="13" t="n">
        <v>0.406849665962055</v>
      </c>
      <c r="G12" s="7" t="n">
        <v>0.00626438635996668</v>
      </c>
      <c r="H12" s="9" t="n">
        <f aca="false">IF(B12=0,"",D12/B12-1)</f>
        <v>0.427593561164347</v>
      </c>
      <c r="I12" s="8" t="n">
        <f aca="false">IF(B12=0,"",F12/B12-1)</f>
        <v>-0.225697211623764</v>
      </c>
      <c r="J12" s="8" t="n">
        <f aca="false">IF(D12=0,"",F12/D12-1)</f>
        <v>-0.457616782927548</v>
      </c>
      <c r="K12" s="6" t="s">
        <v>156</v>
      </c>
      <c r="L12" s="6" t="s">
        <v>157</v>
      </c>
      <c r="M12" s="6"/>
    </row>
    <row r="13" customFormat="false" ht="15" hidden="false" customHeight="false" outlineLevel="0" collapsed="false">
      <c r="A13" s="5" t="s">
        <v>70</v>
      </c>
      <c r="B13" s="7" t="n">
        <v>0.180906280359782</v>
      </c>
      <c r="C13" s="7" t="n">
        <v>0.0130267352759715</v>
      </c>
      <c r="D13" s="13" t="n">
        <v>0.172901177140687</v>
      </c>
      <c r="E13" s="7" t="n">
        <v>0.0126886761746455</v>
      </c>
      <c r="F13" s="7" t="n">
        <v>0.22202771643367</v>
      </c>
      <c r="G13" s="7" t="n">
        <v>0.0148645460915265</v>
      </c>
      <c r="H13" s="9" t="n">
        <f aca="false">IF(B13=0,"",D13/B13-1)</f>
        <v>-0.0442500017311402</v>
      </c>
      <c r="I13" s="8" t="n">
        <f aca="false">IF(B13=0,"",F13/B13-1)</f>
        <v>0.22730795189701</v>
      </c>
      <c r="J13" s="8" t="n">
        <f aca="false">IF(D13=0,"",F13/D13-1)</f>
        <v>0.284130739335622</v>
      </c>
      <c r="K13" s="6" t="s">
        <v>162</v>
      </c>
      <c r="L13" s="6" t="s">
        <v>156</v>
      </c>
      <c r="M13" s="6"/>
    </row>
    <row r="14" customFormat="false" ht="15" hidden="false" customHeight="false" outlineLevel="0" collapsed="false">
      <c r="A14" s="5" t="s">
        <v>71</v>
      </c>
      <c r="B14" s="7" t="n">
        <v>0.2</v>
      </c>
      <c r="C14" s="7" t="n">
        <v>0.244948974278318</v>
      </c>
      <c r="D14" s="7" t="n">
        <v>0.2</v>
      </c>
      <c r="E14" s="7" t="n">
        <v>0.244948974278318</v>
      </c>
      <c r="F14" s="13" t="n">
        <v>0.15</v>
      </c>
      <c r="G14" s="7" t="n">
        <v>0.229128784747792</v>
      </c>
      <c r="H14" s="9" t="n">
        <f aca="false">IF(B14=0,"",D14/B14-1)</f>
        <v>0</v>
      </c>
      <c r="I14" s="8" t="n">
        <f aca="false">IF(B14=0,"",F14/B14-1)</f>
        <v>-0.25</v>
      </c>
      <c r="J14" s="8" t="n">
        <f aca="false">IF(D14=0,"",F14/D14-1)</f>
        <v>-0.25</v>
      </c>
      <c r="K14" s="6" t="s">
        <v>163</v>
      </c>
      <c r="L14" s="6" t="s">
        <v>160</v>
      </c>
      <c r="M14" s="6" t="s">
        <v>161</v>
      </c>
    </row>
    <row r="15" customFormat="false" ht="15" hidden="false" customHeight="false" outlineLevel="0" collapsed="false">
      <c r="A15" s="5" t="s">
        <v>72</v>
      </c>
      <c r="B15" s="7" t="n">
        <v>0.508456547084597</v>
      </c>
      <c r="C15" s="7" t="n">
        <v>0.0156380208525405</v>
      </c>
      <c r="D15" s="7" t="n">
        <v>0.721585410470605</v>
      </c>
      <c r="E15" s="7" t="n">
        <v>0.0132165695366265</v>
      </c>
      <c r="F15" s="13" t="n">
        <v>0.397702236482198</v>
      </c>
      <c r="G15" s="7" t="n">
        <v>0.0063698352216099</v>
      </c>
      <c r="H15" s="9" t="n">
        <f aca="false">IF(B15=0,"",D15/B15-1)</f>
        <v>0.419168293943804</v>
      </c>
      <c r="I15" s="8" t="n">
        <f aca="false">IF(B15=0,"",F15/B15-1)</f>
        <v>-0.217824534343092</v>
      </c>
      <c r="J15" s="8" t="n">
        <f aca="false">IF(D15=0,"",F15/D15-1)</f>
        <v>-0.448849393694332</v>
      </c>
      <c r="K15" s="6" t="s">
        <v>156</v>
      </c>
      <c r="L15" s="6" t="s">
        <v>157</v>
      </c>
      <c r="M15" s="6"/>
    </row>
    <row r="16" customFormat="false" ht="15" hidden="false" customHeight="false" outlineLevel="0" collapsed="false">
      <c r="A16" s="5" t="s">
        <v>73</v>
      </c>
      <c r="B16" s="7" t="n">
        <v>0.526277913087023</v>
      </c>
      <c r="C16" s="7" t="n">
        <v>0.0160129811344642</v>
      </c>
      <c r="D16" s="7" t="n">
        <v>0.740214070553919</v>
      </c>
      <c r="E16" s="7" t="n">
        <v>0.0136166891591962</v>
      </c>
      <c r="F16" s="13" t="n">
        <v>0.418065335812438</v>
      </c>
      <c r="G16" s="7" t="n">
        <v>0.00721294974255258</v>
      </c>
      <c r="H16" s="9" t="n">
        <f aca="false">IF(B16=0,"",D16/B16-1)</f>
        <v>0.406507953586722</v>
      </c>
      <c r="I16" s="8" t="n">
        <f aca="false">IF(B16=0,"",F16/B16-1)</f>
        <v>-0.205618694198727</v>
      </c>
      <c r="J16" s="8" t="n">
        <f aca="false">IF(D16=0,"",F16/D16-1)</f>
        <v>-0.435210228441632</v>
      </c>
      <c r="K16" s="6" t="s">
        <v>110</v>
      </c>
      <c r="L16" s="6" t="s">
        <v>116</v>
      </c>
      <c r="M16" s="6"/>
    </row>
    <row r="17" customFormat="false" ht="15" hidden="false" customHeight="false" outlineLevel="0" collapsed="false">
      <c r="A17" s="5" t="s">
        <v>117</v>
      </c>
      <c r="B17" s="6" t="str">
        <f aca="false">IF(B13&lt;=B12,"pass (amb n/a)","fail (amb n/a)")</f>
        <v>pass (amb n/a)</v>
      </c>
      <c r="C17" s="6"/>
      <c r="D17" s="6" t="str">
        <f aca="false">IF(D13&lt;=D12,"pass (amb n/a)","fail (amb n/a)")</f>
        <v>pass (amb n/a)</v>
      </c>
      <c r="E17" s="6"/>
      <c r="F17" s="6" t="str">
        <f aca="false">IF(F13&lt;=F12,"pass (amb n/a)","fail (amb n/a)")</f>
        <v>pass (amb n/a)</v>
      </c>
      <c r="G17" s="6"/>
      <c r="H17" s="5"/>
      <c r="I17" s="6"/>
      <c r="J17" s="6"/>
      <c r="K17" s="6"/>
      <c r="L17" s="6"/>
      <c r="M17" s="6"/>
    </row>
    <row r="19" customFormat="false" ht="15" hidden="false" customHeight="false" outlineLevel="0" collapsed="false">
      <c r="A19" s="12" t="s">
        <v>164</v>
      </c>
      <c r="B19" s="12"/>
      <c r="C19" s="12"/>
      <c r="D19" s="12"/>
      <c r="E19" s="12"/>
      <c r="F19" s="12"/>
      <c r="G19" s="12"/>
      <c r="H19" s="12"/>
    </row>
    <row r="20" customFormat="false" ht="15" hidden="false" customHeight="false" outlineLevel="0" collapsed="false">
      <c r="A20" s="3" t="s">
        <v>120</v>
      </c>
      <c r="B20" s="4" t="s">
        <v>79</v>
      </c>
      <c r="C20" s="4" t="s">
        <v>80</v>
      </c>
      <c r="D20" s="4" t="s">
        <v>81</v>
      </c>
      <c r="E20" s="4" t="s">
        <v>82</v>
      </c>
      <c r="F20" s="4" t="s">
        <v>83</v>
      </c>
      <c r="G20" s="4" t="s">
        <v>84</v>
      </c>
      <c r="H20" s="3" t="s">
        <v>85</v>
      </c>
      <c r="I20" s="4" t="s">
        <v>86</v>
      </c>
      <c r="J20" s="4" t="s">
        <v>87</v>
      </c>
      <c r="K20" s="4" t="s">
        <v>88</v>
      </c>
      <c r="L20" s="4" t="s">
        <v>89</v>
      </c>
      <c r="M20" s="4" t="s">
        <v>90</v>
      </c>
    </row>
    <row r="21" customFormat="false" ht="15" hidden="false" customHeight="false" outlineLevel="0" collapsed="false">
      <c r="A21" s="5" t="s">
        <v>121</v>
      </c>
      <c r="B21" s="7" t="n">
        <v>0</v>
      </c>
      <c r="C21" s="7" t="n">
        <v>0</v>
      </c>
      <c r="D21" s="7" t="n">
        <v>2.5</v>
      </c>
      <c r="E21" s="7" t="n">
        <v>0</v>
      </c>
      <c r="F21" s="7" t="n">
        <v>2.5</v>
      </c>
      <c r="G21" s="7" t="n">
        <v>0</v>
      </c>
      <c r="H21" s="10" t="n">
        <v>2.5</v>
      </c>
      <c r="I21" s="7" t="n">
        <v>2.5</v>
      </c>
      <c r="J21" s="7" t="n">
        <v>0</v>
      </c>
      <c r="K21" s="7" t="n">
        <v>0</v>
      </c>
      <c r="L21" s="7" t="n">
        <f aca="false">AVERAGE(B21:K21)</f>
        <v>1</v>
      </c>
      <c r="M21" s="7" t="n">
        <f aca="false">STDEV(B21:K21)</f>
        <v>1.29099444873581</v>
      </c>
    </row>
    <row r="22" customFormat="false" ht="15" hidden="false" customHeight="false" outlineLevel="0" collapsed="false">
      <c r="A22" s="5" t="s">
        <v>122</v>
      </c>
      <c r="B22" s="7" t="n">
        <v>0</v>
      </c>
      <c r="C22" s="7" t="n">
        <v>2.5</v>
      </c>
      <c r="D22" s="7" t="n">
        <v>5</v>
      </c>
      <c r="E22" s="7" t="n">
        <v>0</v>
      </c>
      <c r="F22" s="7" t="n">
        <v>5</v>
      </c>
      <c r="G22" s="7" t="n">
        <v>2.5</v>
      </c>
      <c r="H22" s="10" t="n">
        <v>5</v>
      </c>
      <c r="I22" s="7" t="n">
        <v>5</v>
      </c>
      <c r="J22" s="7" t="n">
        <v>2.5</v>
      </c>
      <c r="K22" s="7" t="n">
        <v>2.5</v>
      </c>
      <c r="L22" s="7" t="n">
        <f aca="false">AVERAGE(B22:K22)</f>
        <v>3</v>
      </c>
      <c r="M22" s="7" t="n">
        <f aca="false">STDEV(B22:K22)</f>
        <v>1.97202659436654</v>
      </c>
    </row>
    <row r="23" customFormat="false" ht="15" hidden="false" customHeight="false" outlineLevel="0" collapsed="false">
      <c r="A23" s="5" t="s">
        <v>123</v>
      </c>
      <c r="B23" s="7" t="n">
        <v>0</v>
      </c>
      <c r="C23" s="7" t="n">
        <v>0</v>
      </c>
      <c r="D23" s="7" t="n">
        <v>0.5</v>
      </c>
      <c r="E23" s="7" t="n">
        <v>0</v>
      </c>
      <c r="F23" s="7" t="n">
        <v>0.5</v>
      </c>
      <c r="G23" s="7" t="n">
        <v>0</v>
      </c>
      <c r="H23" s="10" t="n">
        <v>0.5</v>
      </c>
      <c r="I23" s="7" t="n">
        <v>0.5</v>
      </c>
      <c r="J23" s="7" t="n">
        <v>0</v>
      </c>
      <c r="K23" s="7" t="n">
        <v>0</v>
      </c>
      <c r="L23" s="7" t="n">
        <f aca="false">AVERAGE(B23:K23)</f>
        <v>0.2</v>
      </c>
      <c r="M23" s="7" t="n">
        <f aca="false">STDEV(B23:K23)</f>
        <v>0.258198889747161</v>
      </c>
    </row>
    <row r="24" customFormat="false" ht="15" hidden="false" customHeight="false" outlineLevel="0" collapsed="false">
      <c r="A24" s="5" t="s">
        <v>124</v>
      </c>
      <c r="B24" s="7" t="n">
        <v>0</v>
      </c>
      <c r="C24" s="7" t="n">
        <v>0.5</v>
      </c>
      <c r="D24" s="7" t="n">
        <v>0.5</v>
      </c>
      <c r="E24" s="7" t="n">
        <v>0</v>
      </c>
      <c r="F24" s="7" t="n">
        <v>0.5</v>
      </c>
      <c r="G24" s="7" t="n">
        <v>0.5</v>
      </c>
      <c r="H24" s="10" t="n">
        <v>0.5</v>
      </c>
      <c r="I24" s="7" t="n">
        <v>0.5</v>
      </c>
      <c r="J24" s="7" t="n">
        <v>0.5</v>
      </c>
      <c r="K24" s="7" t="n">
        <v>0.5</v>
      </c>
      <c r="L24" s="7" t="n">
        <f aca="false">AVERAGE(B24:K24)</f>
        <v>0.4</v>
      </c>
      <c r="M24" s="7" t="n">
        <f aca="false">STDEV(B24:K24)</f>
        <v>0.210818510677892</v>
      </c>
    </row>
    <row r="25" customFormat="false" ht="15" hidden="false" customHeight="false" outlineLevel="0" collapsed="false">
      <c r="A25" s="5" t="s">
        <v>165</v>
      </c>
      <c r="B25" s="7" t="n">
        <v>0</v>
      </c>
      <c r="C25" s="7" t="n">
        <v>15</v>
      </c>
      <c r="D25" s="7" t="n">
        <v>0</v>
      </c>
      <c r="E25" s="7" t="n">
        <v>0</v>
      </c>
      <c r="F25" s="7" t="n">
        <v>12.5</v>
      </c>
      <c r="G25" s="7" t="n">
        <v>0</v>
      </c>
      <c r="H25" s="10" t="n">
        <v>15</v>
      </c>
      <c r="I25" s="7" t="n">
        <v>5</v>
      </c>
      <c r="J25" s="7" t="n">
        <v>0</v>
      </c>
      <c r="K25" s="7" t="n">
        <v>0</v>
      </c>
      <c r="L25" s="7" t="n">
        <f aca="false">AVERAGE(B25:K25)</f>
        <v>4.75</v>
      </c>
      <c r="M25" s="7" t="n">
        <f aca="false">STDEV(B25:K25)</f>
        <v>6.71337802037428</v>
      </c>
    </row>
    <row r="26" customFormat="false" ht="15" hidden="false" customHeight="false" outlineLevel="0" collapsed="false">
      <c r="A26" s="5" t="s">
        <v>166</v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10" t="n">
        <v>0</v>
      </c>
      <c r="I26" s="7" t="n">
        <v>0</v>
      </c>
      <c r="J26" s="7" t="n">
        <v>0</v>
      </c>
      <c r="K26" s="7" t="n">
        <v>0</v>
      </c>
      <c r="L26" s="7" t="n">
        <f aca="false">AVERAGE(B26:K26)</f>
        <v>0</v>
      </c>
      <c r="M26" s="7" t="n">
        <f aca="false">STDEV(B26:K26)</f>
        <v>0</v>
      </c>
    </row>
    <row r="27" customFormat="false" ht="15" hidden="false" customHeight="false" outlineLevel="0" collapsed="false">
      <c r="A27" s="5" t="s">
        <v>167</v>
      </c>
      <c r="B27" s="7" t="n">
        <v>0</v>
      </c>
      <c r="C27" s="7" t="n">
        <v>0.5</v>
      </c>
      <c r="D27" s="7" t="n">
        <v>0</v>
      </c>
      <c r="E27" s="7" t="n">
        <v>0</v>
      </c>
      <c r="F27" s="7" t="n">
        <v>0.5</v>
      </c>
      <c r="G27" s="7" t="n">
        <v>0</v>
      </c>
      <c r="H27" s="10" t="n">
        <v>0.5</v>
      </c>
      <c r="I27" s="7" t="n">
        <v>0.5</v>
      </c>
      <c r="J27" s="7" t="n">
        <v>0</v>
      </c>
      <c r="K27" s="7" t="n">
        <v>0</v>
      </c>
      <c r="L27" s="7" t="n">
        <f aca="false">AVERAGE(B27:K27)</f>
        <v>0.2</v>
      </c>
      <c r="M27" s="7" t="n">
        <f aca="false">STDEV(B27:K27)</f>
        <v>0.258198889747161</v>
      </c>
    </row>
    <row r="28" customFormat="false" ht="15" hidden="false" customHeight="false" outlineLevel="0" collapsed="false">
      <c r="A28" s="5" t="s">
        <v>168</v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10" t="n">
        <v>0</v>
      </c>
      <c r="I28" s="7" t="n">
        <v>0</v>
      </c>
      <c r="J28" s="7" t="n">
        <v>0</v>
      </c>
      <c r="K28" s="7" t="n">
        <v>0</v>
      </c>
      <c r="L28" s="7" t="n">
        <f aca="false">AVERAGE(B28:K28)</f>
        <v>0</v>
      </c>
      <c r="M28" s="7" t="n">
        <f aca="false">STDEV(B28:K28)</f>
        <v>0</v>
      </c>
    </row>
    <row r="29" customFormat="false" ht="15" hidden="false" customHeight="false" outlineLevel="0" collapsed="false">
      <c r="A29" s="5" t="s">
        <v>169</v>
      </c>
      <c r="B29" s="7" t="n">
        <v>2.5</v>
      </c>
      <c r="C29" s="7" t="n">
        <v>0</v>
      </c>
      <c r="D29" s="7" t="n">
        <v>0</v>
      </c>
      <c r="E29" s="7" t="n">
        <v>0</v>
      </c>
      <c r="F29" s="7" t="n">
        <v>2.5</v>
      </c>
      <c r="G29" s="7" t="n">
        <v>0</v>
      </c>
      <c r="H29" s="10" t="n">
        <v>0</v>
      </c>
      <c r="I29" s="7" t="n">
        <v>0</v>
      </c>
      <c r="J29" s="7" t="n">
        <v>2.5</v>
      </c>
      <c r="K29" s="7" t="n">
        <v>0</v>
      </c>
      <c r="L29" s="7" t="n">
        <f aca="false">AVERAGE(B29:K29)</f>
        <v>0.75</v>
      </c>
      <c r="M29" s="7" t="n">
        <f aca="false">STDEV(B29:K29)</f>
        <v>1.20761472884912</v>
      </c>
    </row>
    <row r="30" customFormat="false" ht="15" hidden="false" customHeight="false" outlineLevel="0" collapsed="false">
      <c r="A30" s="5" t="s">
        <v>170</v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2.5</v>
      </c>
      <c r="H30" s="10" t="n">
        <v>0</v>
      </c>
      <c r="I30" s="7" t="n">
        <v>0</v>
      </c>
      <c r="J30" s="7" t="n">
        <v>0</v>
      </c>
      <c r="K30" s="7" t="n">
        <v>0</v>
      </c>
      <c r="L30" s="7" t="n">
        <f aca="false">AVERAGE(B30:K30)</f>
        <v>0.25</v>
      </c>
      <c r="M30" s="7" t="n">
        <f aca="false">STDEV(B30:K30)</f>
        <v>0.790569415042095</v>
      </c>
    </row>
    <row r="31" customFormat="false" ht="15" hidden="false" customHeight="false" outlineLevel="0" collapsed="false">
      <c r="A31" s="5" t="s">
        <v>171</v>
      </c>
      <c r="B31" s="7" t="n">
        <v>0.5</v>
      </c>
      <c r="C31" s="7" t="n">
        <v>0</v>
      </c>
      <c r="D31" s="7" t="n">
        <v>0</v>
      </c>
      <c r="E31" s="7" t="n">
        <v>0</v>
      </c>
      <c r="F31" s="7" t="n">
        <v>0.5</v>
      </c>
      <c r="G31" s="7" t="n">
        <v>0</v>
      </c>
      <c r="H31" s="10" t="n">
        <v>0</v>
      </c>
      <c r="I31" s="7" t="n">
        <v>0</v>
      </c>
      <c r="J31" s="7" t="n">
        <v>0.5</v>
      </c>
      <c r="K31" s="7" t="n">
        <v>0</v>
      </c>
      <c r="L31" s="7" t="n">
        <f aca="false">AVERAGE(B31:K31)</f>
        <v>0.15</v>
      </c>
      <c r="M31" s="7" t="n">
        <f aca="false">STDEV(B31:K31)</f>
        <v>0.241522945769824</v>
      </c>
    </row>
    <row r="32" customFormat="false" ht="15" hidden="false" customHeight="false" outlineLevel="0" collapsed="false">
      <c r="A32" s="5" t="s">
        <v>172</v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0.5</v>
      </c>
      <c r="H32" s="10" t="n">
        <v>0</v>
      </c>
      <c r="I32" s="7" t="n">
        <v>0</v>
      </c>
      <c r="J32" s="7" t="n">
        <v>0</v>
      </c>
      <c r="K32" s="7" t="n">
        <v>0</v>
      </c>
      <c r="L32" s="7" t="n">
        <f aca="false">AVERAGE(B32:K32)</f>
        <v>0.05</v>
      </c>
      <c r="M32" s="7" t="n">
        <f aca="false">STDEV(B32:K32)</f>
        <v>0.158113883008419</v>
      </c>
    </row>
    <row r="33" customFormat="false" ht="15" hidden="false" customHeight="false" outlineLevel="0" collapsed="false">
      <c r="A33" s="5" t="s">
        <v>129</v>
      </c>
      <c r="B33" s="6" t="str">
        <f aca="false">SUMPRODUCT(--(B21:K21&lt;B22:K22))&amp;" / "&amp;SUMPRODUCT(--(B21:K21=B22:K22))&amp;" (of 10)"</f>
        <v>8 / 2 (of 10)</v>
      </c>
    </row>
    <row r="34" customFormat="false" ht="15" hidden="false" customHeight="false" outlineLevel="0" collapsed="false">
      <c r="A34" s="5" t="s">
        <v>130</v>
      </c>
      <c r="B34" s="6" t="str">
        <f aca="false">SUMPRODUCT(--(B23:K23&lt;B24:K24))&amp;" / "&amp;SUMPRODUCT(--(B23:K23=B24:K24))&amp;" (of 10)"</f>
        <v>4 / 6 (of 10)</v>
      </c>
    </row>
    <row r="35" customFormat="false" ht="15" hidden="false" customHeight="false" outlineLevel="0" collapsed="false">
      <c r="A35" s="5" t="s">
        <v>173</v>
      </c>
      <c r="B35" s="6" t="str">
        <f aca="false">SUMPRODUCT(--(B25:K25&lt;B26:K26))&amp;" / "&amp;SUMPRODUCT(--(B25:K25=B26:K26))&amp;" (of 10)"</f>
        <v>0 / 6 (of 10)</v>
      </c>
    </row>
    <row r="36" customFormat="false" ht="15" hidden="false" customHeight="false" outlineLevel="0" collapsed="false">
      <c r="A36" s="5" t="s">
        <v>174</v>
      </c>
      <c r="B36" s="6" t="str">
        <f aca="false">SUMPRODUCT(--(B27:K27&lt;B28:K28))&amp;" / "&amp;SUMPRODUCT(--(B27:K27=B28:K28))&amp;" (of 10)"</f>
        <v>0 / 6 (of 10)</v>
      </c>
    </row>
    <row r="37" customFormat="false" ht="15" hidden="false" customHeight="false" outlineLevel="0" collapsed="false">
      <c r="A37" s="5" t="s">
        <v>175</v>
      </c>
      <c r="B37" s="6" t="str">
        <f aca="false">SUMPRODUCT(--(B29:K29&lt;B30:K30))&amp;" / "&amp;SUMPRODUCT(--(B29:K29=B30:K30))&amp;" (of 10)"</f>
        <v>1 / 6 (of 10)</v>
      </c>
    </row>
    <row r="38" customFormat="false" ht="15" hidden="false" customHeight="false" outlineLevel="0" collapsed="false">
      <c r="A38" s="5" t="s">
        <v>176</v>
      </c>
      <c r="B38" s="6" t="str">
        <f aca="false">SUMPRODUCT(--(B31:K31&lt;B32:K32))&amp;" / "&amp;SUMPRODUCT(--(B31:K31=B32:K32))&amp;" (of 10)"</f>
        <v>1 / 6 (of 10)</v>
      </c>
    </row>
    <row r="41" customFormat="false" ht="15" hidden="false" customHeight="false" outlineLevel="0" collapsed="false">
      <c r="A41" s="1" t="s">
        <v>177</v>
      </c>
    </row>
    <row r="42" customFormat="false" ht="15" hidden="false" customHeight="false" outlineLevel="0" collapsed="false">
      <c r="A42" s="11" t="s">
        <v>178</v>
      </c>
    </row>
    <row r="44" customFormat="false" ht="15" hidden="false" customHeight="false" outlineLevel="0" collapsed="false">
      <c r="A44" s="12" t="s">
        <v>179</v>
      </c>
      <c r="B44" s="12"/>
      <c r="C44" s="12"/>
      <c r="D44" s="12"/>
      <c r="E44" s="12"/>
      <c r="F44" s="12"/>
      <c r="G44" s="12"/>
      <c r="H44" s="12"/>
    </row>
    <row r="45" customFormat="false" ht="15" hidden="false" customHeight="false" outlineLevel="0" collapsed="false">
      <c r="A45" s="3" t="s">
        <v>52</v>
      </c>
      <c r="B45" s="4" t="s">
        <v>53</v>
      </c>
      <c r="C45" s="4" t="s">
        <v>54</v>
      </c>
      <c r="D45" s="4" t="s">
        <v>55</v>
      </c>
      <c r="E45" s="4" t="s">
        <v>56</v>
      </c>
      <c r="F45" s="4" t="s">
        <v>57</v>
      </c>
      <c r="G45" s="4" t="s">
        <v>58</v>
      </c>
      <c r="H45" s="3" t="s">
        <v>59</v>
      </c>
    </row>
    <row r="46" customFormat="false" ht="15" hidden="false" customHeight="false" outlineLevel="0" collapsed="false">
      <c r="A46" s="5" t="s">
        <v>60</v>
      </c>
      <c r="B46" s="13" t="n">
        <v>3.73001567125097</v>
      </c>
      <c r="C46" s="7" t="n">
        <v>0.107439997876835</v>
      </c>
      <c r="D46" s="7" t="n">
        <v>5.91587012221084</v>
      </c>
      <c r="E46" s="7" t="n">
        <v>0.0713323549416866</v>
      </c>
      <c r="F46" s="8" t="n">
        <f aca="false">IF(B46=0,"",D46/B46-1)</f>
        <v>0.586017497944393</v>
      </c>
      <c r="G46" s="6"/>
      <c r="H46" s="5"/>
    </row>
    <row r="47" customFormat="false" ht="15" hidden="false" customHeight="false" outlineLevel="0" collapsed="false">
      <c r="A47" s="5" t="s">
        <v>61</v>
      </c>
      <c r="B47" s="13" t="n">
        <v>1.17274857132071</v>
      </c>
      <c r="C47" s="7" t="n">
        <v>0.0876062253185241</v>
      </c>
      <c r="D47" s="7" t="n">
        <v>1.19151382823872</v>
      </c>
      <c r="E47" s="7" t="n">
        <v>0.0947372869618436</v>
      </c>
      <c r="F47" s="8" t="n">
        <f aca="false">IF(B47=0,"",D47/B47-1)</f>
        <v>0.0160010912627864</v>
      </c>
      <c r="G47" s="6"/>
      <c r="H47" s="5"/>
    </row>
    <row r="48" customFormat="false" ht="15" hidden="false" customHeight="false" outlineLevel="0" collapsed="false">
      <c r="A48" s="5" t="s">
        <v>62</v>
      </c>
      <c r="B48" s="13" t="n">
        <v>1</v>
      </c>
      <c r="C48" s="7" t="n">
        <v>1.22474487139159</v>
      </c>
      <c r="D48" s="7" t="n">
        <v>4.75</v>
      </c>
      <c r="E48" s="7" t="n">
        <v>6.3688696014285</v>
      </c>
      <c r="F48" s="8" t="n">
        <f aca="false">IF(B48=0,"",D48/B48-1)</f>
        <v>3.75</v>
      </c>
      <c r="G48" s="6"/>
      <c r="H48" s="5" t="s">
        <v>63</v>
      </c>
    </row>
    <row r="49" customFormat="false" ht="15" hidden="false" customHeight="false" outlineLevel="0" collapsed="false">
      <c r="A49" s="5" t="s">
        <v>64</v>
      </c>
      <c r="B49" s="13" t="n">
        <v>3.60388839569416</v>
      </c>
      <c r="C49" s="7" t="n">
        <v>0.104299491238072</v>
      </c>
      <c r="D49" s="7" t="n">
        <v>5.68308025928241</v>
      </c>
      <c r="E49" s="7" t="n">
        <v>0.0679779874365291</v>
      </c>
      <c r="F49" s="8" t="n">
        <f aca="false">IF(B49=0,"",D49/B49-1)</f>
        <v>0.57693014746861</v>
      </c>
      <c r="G49" s="6"/>
      <c r="H49" s="5"/>
    </row>
    <row r="50" customFormat="false" ht="15" hidden="false" customHeight="false" outlineLevel="0" collapsed="false">
      <c r="A50" s="5" t="s">
        <v>65</v>
      </c>
      <c r="B50" s="13" t="n">
        <v>3.7211635599533</v>
      </c>
      <c r="C50" s="7" t="n">
        <v>0.107927974125573</v>
      </c>
      <c r="D50" s="7" t="n">
        <v>5.81875981677413</v>
      </c>
      <c r="E50" s="7" t="n">
        <v>0.0701778090176693</v>
      </c>
      <c r="F50" s="8" t="n">
        <f aca="false">IF(B50=0,"",D50/B50-1)</f>
        <v>0.563693646631095</v>
      </c>
      <c r="G50" s="6" t="s">
        <v>110</v>
      </c>
      <c r="H50" s="5"/>
    </row>
    <row r="51" customFormat="false" ht="15" hidden="false" customHeight="false" outlineLevel="0" collapsed="false">
      <c r="A51" s="5" t="s">
        <v>67</v>
      </c>
      <c r="B51" s="6" t="str">
        <f aca="false">IF(AND(B48&lt;=B47,B47&lt;=B46),"pass",IF(AND(B48-B47&lt;=5,B47-B46&lt;=5),"pass (tol. 5 s)","fail"))</f>
        <v>pass</v>
      </c>
      <c r="C51" s="6"/>
      <c r="D51" s="6" t="str">
        <f aca="false">IF(AND(D48&lt;=D47,D47&lt;=D46),"pass",IF(AND(D48-D47&lt;=5,D47-D46&lt;=5),"pass (tol. 5 s)","fail"))</f>
        <v>pass (tol. 5 s)</v>
      </c>
      <c r="E51" s="6"/>
      <c r="F51" s="6"/>
      <c r="G51" s="6"/>
      <c r="H51" s="5" t="s">
        <v>68</v>
      </c>
    </row>
    <row r="52" customFormat="false" ht="15" hidden="false" customHeight="false" outlineLevel="0" collapsed="false">
      <c r="A52" s="5" t="s">
        <v>69</v>
      </c>
      <c r="B52" s="13" t="n">
        <v>0.525440011413682</v>
      </c>
      <c r="C52" s="7" t="n">
        <v>0.0162100355248492</v>
      </c>
      <c r="D52" s="7" t="n">
        <v>0.750114777072293</v>
      </c>
      <c r="E52" s="7" t="n">
        <v>0.0138254449331872</v>
      </c>
      <c r="F52" s="8" t="n">
        <f aca="false">IF(B52=0,"",D52/B52-1)</f>
        <v>0.427593561164347</v>
      </c>
      <c r="G52" s="6"/>
      <c r="H52" s="5"/>
    </row>
    <row r="53" customFormat="false" ht="15" hidden="false" customHeight="false" outlineLevel="0" collapsed="false">
      <c r="A53" s="5" t="s">
        <v>70</v>
      </c>
      <c r="B53" s="7" t="n">
        <v>0.180906280359782</v>
      </c>
      <c r="C53" s="7" t="n">
        <v>0.0130267352759715</v>
      </c>
      <c r="D53" s="13" t="n">
        <v>0.172901177140687</v>
      </c>
      <c r="E53" s="7" t="n">
        <v>0.0126886761746455</v>
      </c>
      <c r="F53" s="8" t="n">
        <f aca="false">IF(B53=0,"",D53/B53-1)</f>
        <v>-0.0442500017311402</v>
      </c>
      <c r="G53" s="6"/>
      <c r="H53" s="5"/>
    </row>
    <row r="54" customFormat="false" ht="15" hidden="false" customHeight="false" outlineLevel="0" collapsed="false">
      <c r="A54" s="5" t="s">
        <v>71</v>
      </c>
      <c r="B54" s="13" t="n">
        <v>0.2</v>
      </c>
      <c r="C54" s="7" t="n">
        <v>0.244948974278318</v>
      </c>
      <c r="D54" s="7" t="n">
        <v>0.2</v>
      </c>
      <c r="E54" s="7" t="n">
        <v>0.244948974278318</v>
      </c>
      <c r="F54" s="8" t="n">
        <f aca="false">IF(B54=0,"",D54/B54-1)</f>
        <v>0</v>
      </c>
      <c r="G54" s="6"/>
      <c r="H54" s="5" t="s">
        <v>63</v>
      </c>
    </row>
    <row r="55" customFormat="false" ht="15" hidden="false" customHeight="false" outlineLevel="0" collapsed="false">
      <c r="A55" s="5" t="s">
        <v>72</v>
      </c>
      <c r="B55" s="13" t="n">
        <v>0.508456547084597</v>
      </c>
      <c r="C55" s="7" t="n">
        <v>0.0156380208525405</v>
      </c>
      <c r="D55" s="7" t="n">
        <v>0.721585410470605</v>
      </c>
      <c r="E55" s="7" t="n">
        <v>0.0132165695366265</v>
      </c>
      <c r="F55" s="8" t="n">
        <f aca="false">IF(B55=0,"",D55/B55-1)</f>
        <v>0.419168293943804</v>
      </c>
      <c r="G55" s="6"/>
      <c r="H55" s="5"/>
    </row>
    <row r="56" customFormat="false" ht="15" hidden="false" customHeight="false" outlineLevel="0" collapsed="false">
      <c r="A56" s="5" t="s">
        <v>73</v>
      </c>
      <c r="B56" s="13" t="n">
        <v>0.526277913087023</v>
      </c>
      <c r="C56" s="7" t="n">
        <v>0.0160129811344642</v>
      </c>
      <c r="D56" s="7" t="n">
        <v>0.740214070553919</v>
      </c>
      <c r="E56" s="7" t="n">
        <v>0.0136166891591962</v>
      </c>
      <c r="F56" s="8" t="n">
        <f aca="false">IF(B56=0,"",D56/B56-1)</f>
        <v>0.406507953586722</v>
      </c>
      <c r="G56" s="6" t="s">
        <v>110</v>
      </c>
      <c r="H56" s="5"/>
    </row>
    <row r="57" customFormat="false" ht="15" hidden="false" customHeight="false" outlineLevel="0" collapsed="false">
      <c r="A57" s="5" t="s">
        <v>117</v>
      </c>
      <c r="B57" s="6" t="str">
        <f aca="false">IF(B53&lt;=B52,"pass (amb n/a)","fail (amb n/a)")</f>
        <v>pass (amb n/a)</v>
      </c>
      <c r="C57" s="6"/>
      <c r="D57" s="6" t="str">
        <f aca="false">IF(D53&lt;=D52,"pass (amb n/a)","fail (amb n/a)")</f>
        <v>pass (amb n/a)</v>
      </c>
      <c r="E57" s="6"/>
      <c r="F57" s="6"/>
      <c r="G57" s="6"/>
      <c r="H57" s="5" t="s">
        <v>118</v>
      </c>
    </row>
    <row r="59" customFormat="false" ht="15" hidden="false" customHeight="false" outlineLevel="0" collapsed="false">
      <c r="A59" s="12" t="s">
        <v>180</v>
      </c>
      <c r="B59" s="12"/>
      <c r="C59" s="12"/>
      <c r="D59" s="12"/>
      <c r="E59" s="12"/>
      <c r="F59" s="12"/>
      <c r="G59" s="12"/>
      <c r="H59" s="12"/>
    </row>
    <row r="60" customFormat="false" ht="15" hidden="false" customHeight="false" outlineLevel="0" collapsed="false">
      <c r="A60" s="3" t="s">
        <v>120</v>
      </c>
      <c r="B60" s="4" t="s">
        <v>79</v>
      </c>
      <c r="C60" s="4" t="s">
        <v>80</v>
      </c>
      <c r="D60" s="4" t="s">
        <v>81</v>
      </c>
      <c r="E60" s="4" t="s">
        <v>82</v>
      </c>
      <c r="F60" s="4" t="s">
        <v>83</v>
      </c>
      <c r="G60" s="4" t="s">
        <v>84</v>
      </c>
      <c r="H60" s="3" t="s">
        <v>85</v>
      </c>
      <c r="I60" s="4" t="s">
        <v>86</v>
      </c>
      <c r="J60" s="4" t="s">
        <v>87</v>
      </c>
      <c r="K60" s="4" t="s">
        <v>88</v>
      </c>
      <c r="L60" s="4" t="s">
        <v>89</v>
      </c>
      <c r="M60" s="4" t="s">
        <v>90</v>
      </c>
    </row>
    <row r="61" customFormat="false" ht="15" hidden="false" customHeight="false" outlineLevel="0" collapsed="false">
      <c r="A61" s="5" t="s">
        <v>121</v>
      </c>
      <c r="B61" s="7" t="n">
        <v>0</v>
      </c>
      <c r="C61" s="7" t="n">
        <v>0</v>
      </c>
      <c r="D61" s="7" t="n">
        <v>2.5</v>
      </c>
      <c r="E61" s="7" t="n">
        <v>0</v>
      </c>
      <c r="F61" s="7" t="n">
        <v>2.5</v>
      </c>
      <c r="G61" s="7" t="n">
        <v>0</v>
      </c>
      <c r="H61" s="10" t="n">
        <v>2.5</v>
      </c>
      <c r="I61" s="7" t="n">
        <v>2.5</v>
      </c>
      <c r="J61" s="7" t="n">
        <v>0</v>
      </c>
      <c r="K61" s="7" t="n">
        <v>0</v>
      </c>
      <c r="L61" s="7" t="n">
        <f aca="false">AVERAGE(B61:K61)</f>
        <v>1</v>
      </c>
      <c r="M61" s="7" t="n">
        <f aca="false">STDEV(B61:K61)</f>
        <v>1.29099444873581</v>
      </c>
    </row>
    <row r="62" customFormat="false" ht="15" hidden="false" customHeight="false" outlineLevel="0" collapsed="false">
      <c r="A62" s="5" t="s">
        <v>122</v>
      </c>
      <c r="B62" s="7" t="n">
        <v>0</v>
      </c>
      <c r="C62" s="7" t="n">
        <v>2.5</v>
      </c>
      <c r="D62" s="7" t="n">
        <v>5</v>
      </c>
      <c r="E62" s="7" t="n">
        <v>0</v>
      </c>
      <c r="F62" s="7" t="n">
        <v>5</v>
      </c>
      <c r="G62" s="7" t="n">
        <v>2.5</v>
      </c>
      <c r="H62" s="10" t="n">
        <v>5</v>
      </c>
      <c r="I62" s="7" t="n">
        <v>5</v>
      </c>
      <c r="J62" s="7" t="n">
        <v>2.5</v>
      </c>
      <c r="K62" s="7" t="n">
        <v>2.5</v>
      </c>
      <c r="L62" s="7" t="n">
        <f aca="false">AVERAGE(B62:K62)</f>
        <v>3</v>
      </c>
      <c r="M62" s="7" t="n">
        <f aca="false">STDEV(B62:K62)</f>
        <v>1.97202659436654</v>
      </c>
    </row>
    <row r="63" customFormat="false" ht="15" hidden="false" customHeight="false" outlineLevel="0" collapsed="false">
      <c r="A63" s="5" t="s">
        <v>123</v>
      </c>
      <c r="B63" s="7" t="n">
        <v>0</v>
      </c>
      <c r="C63" s="7" t="n">
        <v>0</v>
      </c>
      <c r="D63" s="7" t="n">
        <v>0.5</v>
      </c>
      <c r="E63" s="7" t="n">
        <v>0</v>
      </c>
      <c r="F63" s="7" t="n">
        <v>0.5</v>
      </c>
      <c r="G63" s="7" t="n">
        <v>0</v>
      </c>
      <c r="H63" s="10" t="n">
        <v>0.5</v>
      </c>
      <c r="I63" s="7" t="n">
        <v>0.5</v>
      </c>
      <c r="J63" s="7" t="n">
        <v>0</v>
      </c>
      <c r="K63" s="7" t="n">
        <v>0</v>
      </c>
      <c r="L63" s="7" t="n">
        <f aca="false">AVERAGE(B63:K63)</f>
        <v>0.2</v>
      </c>
      <c r="M63" s="7" t="n">
        <f aca="false">STDEV(B63:K63)</f>
        <v>0.258198889747161</v>
      </c>
    </row>
    <row r="64" customFormat="false" ht="15" hidden="false" customHeight="false" outlineLevel="0" collapsed="false">
      <c r="A64" s="5" t="s">
        <v>124</v>
      </c>
      <c r="B64" s="7" t="n">
        <v>0</v>
      </c>
      <c r="C64" s="7" t="n">
        <v>0.5</v>
      </c>
      <c r="D64" s="7" t="n">
        <v>0.5</v>
      </c>
      <c r="E64" s="7" t="n">
        <v>0</v>
      </c>
      <c r="F64" s="7" t="n">
        <v>0.5</v>
      </c>
      <c r="G64" s="7" t="n">
        <v>0.5</v>
      </c>
      <c r="H64" s="10" t="n">
        <v>0.5</v>
      </c>
      <c r="I64" s="7" t="n">
        <v>0.5</v>
      </c>
      <c r="J64" s="7" t="n">
        <v>0.5</v>
      </c>
      <c r="K64" s="7" t="n">
        <v>0.5</v>
      </c>
      <c r="L64" s="7" t="n">
        <f aca="false">AVERAGE(B64:K64)</f>
        <v>0.4</v>
      </c>
      <c r="M64" s="7" t="n">
        <f aca="false">STDEV(B64:K64)</f>
        <v>0.210818510677892</v>
      </c>
    </row>
    <row r="65" customFormat="false" ht="15" hidden="false" customHeight="false" outlineLevel="0" collapsed="false">
      <c r="A65" s="5" t="s">
        <v>125</v>
      </c>
      <c r="B65" s="7" t="n">
        <v>0</v>
      </c>
      <c r="C65" s="7" t="n">
        <v>15</v>
      </c>
      <c r="D65" s="7" t="n">
        <v>0</v>
      </c>
      <c r="E65" s="7" t="n">
        <v>0</v>
      </c>
      <c r="F65" s="7" t="n">
        <v>12.5</v>
      </c>
      <c r="G65" s="7" t="n">
        <v>0</v>
      </c>
      <c r="H65" s="10" t="n">
        <v>15</v>
      </c>
      <c r="I65" s="7" t="n">
        <v>5</v>
      </c>
      <c r="J65" s="7" t="n">
        <v>0</v>
      </c>
      <c r="K65" s="7" t="n">
        <v>0</v>
      </c>
      <c r="L65" s="7" t="n">
        <f aca="false">AVERAGE(B65:K65)</f>
        <v>4.75</v>
      </c>
      <c r="M65" s="7" t="n">
        <f aca="false">STDEV(B65:K65)</f>
        <v>6.71337802037428</v>
      </c>
    </row>
    <row r="66" customFormat="false" ht="15" hidden="false" customHeight="false" outlineLevel="0" collapsed="false">
      <c r="A66" s="5" t="s">
        <v>126</v>
      </c>
      <c r="B66" s="7" t="n">
        <v>0</v>
      </c>
      <c r="C66" s="7" t="n">
        <v>0</v>
      </c>
      <c r="D66" s="7" t="n">
        <v>0</v>
      </c>
      <c r="E66" s="7" t="n">
        <v>0</v>
      </c>
      <c r="F66" s="7" t="n">
        <v>0</v>
      </c>
      <c r="G66" s="7" t="n">
        <v>0</v>
      </c>
      <c r="H66" s="10" t="n">
        <v>0</v>
      </c>
      <c r="I66" s="7" t="n">
        <v>0</v>
      </c>
      <c r="J66" s="7" t="n">
        <v>0</v>
      </c>
      <c r="K66" s="7" t="n">
        <v>0</v>
      </c>
      <c r="L66" s="7" t="n">
        <f aca="false">AVERAGE(B66:K66)</f>
        <v>0</v>
      </c>
      <c r="M66" s="7" t="n">
        <f aca="false">STDEV(B66:K66)</f>
        <v>0</v>
      </c>
    </row>
    <row r="67" customFormat="false" ht="15" hidden="false" customHeight="false" outlineLevel="0" collapsed="false">
      <c r="A67" s="5" t="s">
        <v>127</v>
      </c>
      <c r="B67" s="7" t="n">
        <v>0</v>
      </c>
      <c r="C67" s="7" t="n">
        <v>0.5</v>
      </c>
      <c r="D67" s="7" t="n">
        <v>0</v>
      </c>
      <c r="E67" s="7" t="n">
        <v>0</v>
      </c>
      <c r="F67" s="7" t="n">
        <v>0.5</v>
      </c>
      <c r="G67" s="7" t="n">
        <v>0</v>
      </c>
      <c r="H67" s="10" t="n">
        <v>0.5</v>
      </c>
      <c r="I67" s="7" t="n">
        <v>0.5</v>
      </c>
      <c r="J67" s="7" t="n">
        <v>0</v>
      </c>
      <c r="K67" s="7" t="n">
        <v>0</v>
      </c>
      <c r="L67" s="7" t="n">
        <f aca="false">AVERAGE(B67:K67)</f>
        <v>0.2</v>
      </c>
      <c r="M67" s="7" t="n">
        <f aca="false">STDEV(B67:K67)</f>
        <v>0.258198889747161</v>
      </c>
    </row>
    <row r="68" customFormat="false" ht="15" hidden="false" customHeight="false" outlineLevel="0" collapsed="false">
      <c r="A68" s="5" t="s">
        <v>128</v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10" t="n">
        <v>0</v>
      </c>
      <c r="I68" s="7" t="n">
        <v>0</v>
      </c>
      <c r="J68" s="7" t="n">
        <v>0</v>
      </c>
      <c r="K68" s="7" t="n">
        <v>0</v>
      </c>
      <c r="L68" s="7" t="n">
        <f aca="false">AVERAGE(B68:K68)</f>
        <v>0</v>
      </c>
      <c r="M68" s="7" t="n">
        <f aca="false">STDEV(B68:K68)</f>
        <v>0</v>
      </c>
    </row>
    <row r="69" customFormat="false" ht="15" hidden="false" customHeight="false" outlineLevel="0" collapsed="false">
      <c r="A69" s="5" t="s">
        <v>129</v>
      </c>
      <c r="B69" s="6" t="str">
        <f aca="false">SUMPRODUCT(--(B61:K61&lt;B62:K62))&amp;" / "&amp;SUMPRODUCT(--(B61:K61=B62:K62))&amp;" (of 10)"</f>
        <v>8 / 2 (of 10)</v>
      </c>
    </row>
    <row r="70" customFormat="false" ht="15" hidden="false" customHeight="false" outlineLevel="0" collapsed="false">
      <c r="A70" s="5" t="s">
        <v>130</v>
      </c>
      <c r="B70" s="6" t="str">
        <f aca="false">SUMPRODUCT(--(B63:K63&lt;B64:K64))&amp;" / "&amp;SUMPRODUCT(--(B63:K63=B64:K64))&amp;" (of 10)"</f>
        <v>4 / 6 (of 10)</v>
      </c>
    </row>
    <row r="71" customFormat="false" ht="15" hidden="false" customHeight="false" outlineLevel="0" collapsed="false">
      <c r="A71" s="5" t="s">
        <v>131</v>
      </c>
      <c r="B71" s="6" t="str">
        <f aca="false">SUMPRODUCT(--(B65:K65&lt;B66:K66))&amp;" / "&amp;SUMPRODUCT(--(B65:K65=B66:K66))&amp;" (of 10)"</f>
        <v>0 / 6 (of 10)</v>
      </c>
    </row>
    <row r="72" customFormat="false" ht="15" hidden="false" customHeight="false" outlineLevel="0" collapsed="false">
      <c r="A72" s="5" t="s">
        <v>132</v>
      </c>
      <c r="B72" s="6" t="str">
        <f aca="false">SUMPRODUCT(--(B67:K67&lt;B68:K68))&amp;" / "&amp;SUMPRODUCT(--(B67:K67=B68:K68))&amp;" (of 10)"</f>
        <v>0 / 6 (of 10)</v>
      </c>
    </row>
    <row r="75" customFormat="false" ht="15" hidden="false" customHeight="false" outlineLevel="0" collapsed="false">
      <c r="A75" s="1" t="s">
        <v>181</v>
      </c>
    </row>
    <row r="76" customFormat="false" ht="15" hidden="false" customHeight="false" outlineLevel="0" collapsed="false">
      <c r="A76" s="11" t="s">
        <v>182</v>
      </c>
    </row>
    <row r="78" customFormat="false" ht="15" hidden="false" customHeight="false" outlineLevel="0" collapsed="false">
      <c r="A78" s="12" t="s">
        <v>183</v>
      </c>
      <c r="B78" s="12"/>
      <c r="C78" s="12"/>
      <c r="D78" s="12"/>
      <c r="E78" s="12"/>
      <c r="F78" s="12"/>
      <c r="G78" s="12"/>
      <c r="H78" s="12"/>
    </row>
    <row r="79" customFormat="false" ht="15" hidden="false" customHeight="false" outlineLevel="0" collapsed="false">
      <c r="A79" s="3" t="s">
        <v>52</v>
      </c>
      <c r="B79" s="4" t="s">
        <v>53</v>
      </c>
      <c r="C79" s="4" t="s">
        <v>54</v>
      </c>
      <c r="D79" s="4" t="s">
        <v>55</v>
      </c>
      <c r="E79" s="4" t="s">
        <v>56</v>
      </c>
      <c r="F79" s="4" t="s">
        <v>57</v>
      </c>
      <c r="G79" s="4" t="s">
        <v>58</v>
      </c>
      <c r="H79" s="3" t="s">
        <v>59</v>
      </c>
    </row>
    <row r="80" customFormat="false" ht="15" hidden="false" customHeight="false" outlineLevel="0" collapsed="false">
      <c r="A80" s="5" t="s">
        <v>60</v>
      </c>
      <c r="B80" s="13" t="n">
        <v>3.69527996514097</v>
      </c>
      <c r="C80" s="7" t="n">
        <v>0.096525433049008</v>
      </c>
      <c r="D80" s="7" t="n">
        <v>5.93606896759782</v>
      </c>
      <c r="E80" s="7" t="n">
        <v>0.0758671934643359</v>
      </c>
      <c r="F80" s="8" t="n">
        <f aca="false">IF(B80=0,"",D80/B80-1)</f>
        <v>0.606392214824072</v>
      </c>
      <c r="G80" s="6"/>
      <c r="H80" s="5"/>
    </row>
    <row r="81" customFormat="false" ht="15" hidden="false" customHeight="false" outlineLevel="0" collapsed="false">
      <c r="A81" s="5" t="s">
        <v>61</v>
      </c>
      <c r="B81" s="7" t="n">
        <v>1.16896401182692</v>
      </c>
      <c r="C81" s="7" t="n">
        <v>0.0921351326742655</v>
      </c>
      <c r="D81" s="13" t="n">
        <v>1.14010157584963</v>
      </c>
      <c r="E81" s="7" t="n">
        <v>0.0871124339441464</v>
      </c>
      <c r="F81" s="8" t="n">
        <f aca="false">IF(B81=0,"",D81/B81-1)</f>
        <v>-0.0246906112466064</v>
      </c>
      <c r="G81" s="6"/>
      <c r="H81" s="5"/>
    </row>
    <row r="82" customFormat="false" ht="15" hidden="false" customHeight="false" outlineLevel="0" collapsed="false">
      <c r="A82" s="5" t="s">
        <v>62</v>
      </c>
      <c r="B82" s="13" t="n">
        <v>0</v>
      </c>
      <c r="C82" s="7" t="n">
        <v>0</v>
      </c>
      <c r="D82" s="7" t="n">
        <v>0</v>
      </c>
      <c r="E82" s="7" t="n">
        <v>0</v>
      </c>
      <c r="F82" s="8" t="str">
        <f aca="false">IF(B82=0,"",D82/B82-1)</f>
        <v/>
      </c>
      <c r="G82" s="6"/>
      <c r="H82" s="5" t="s">
        <v>63</v>
      </c>
    </row>
    <row r="83" customFormat="false" ht="15" hidden="false" customHeight="false" outlineLevel="0" collapsed="false">
      <c r="A83" s="5" t="s">
        <v>64</v>
      </c>
      <c r="B83" s="13" t="n">
        <v>3.57058104695067</v>
      </c>
      <c r="C83" s="7" t="n">
        <v>0.093495538063964</v>
      </c>
      <c r="D83" s="7" t="n">
        <v>5.69847219496105</v>
      </c>
      <c r="E83" s="7" t="n">
        <v>0.0724277633843349</v>
      </c>
      <c r="F83" s="8" t="n">
        <f aca="false">IF(B83=0,"",D83/B83-1)</f>
        <v>0.595950944686616</v>
      </c>
      <c r="G83" s="6"/>
      <c r="H83" s="5"/>
    </row>
    <row r="84" customFormat="false" ht="15" hidden="false" customHeight="false" outlineLevel="0" collapsed="false">
      <c r="A84" s="5" t="s">
        <v>65</v>
      </c>
      <c r="B84" s="13" t="n">
        <v>3.68644022817255</v>
      </c>
      <c r="C84" s="7" t="n">
        <v>0.0963133118371707</v>
      </c>
      <c r="D84" s="7" t="n">
        <v>5.8267038914822</v>
      </c>
      <c r="E84" s="7" t="n">
        <v>0.0750954363705947</v>
      </c>
      <c r="F84" s="8" t="n">
        <f aca="false">IF(B84=0,"",D84/B84-1)</f>
        <v>0.580577340425405</v>
      </c>
      <c r="G84" s="6" t="s">
        <v>184</v>
      </c>
      <c r="H84" s="5"/>
    </row>
    <row r="85" customFormat="false" ht="15" hidden="false" customHeight="false" outlineLevel="0" collapsed="false">
      <c r="A85" s="5" t="s">
        <v>67</v>
      </c>
      <c r="B85" s="6" t="str">
        <f aca="false">IF(AND(B82&lt;=B81,B81&lt;=B80),"pass",IF(AND(B82-B81&lt;=5,B81-B80&lt;=5),"pass (tol. 5 s)","fail"))</f>
        <v>pass</v>
      </c>
      <c r="C85" s="6"/>
      <c r="D85" s="6" t="str">
        <f aca="false">IF(AND(D82&lt;=D81,D81&lt;=D80),"pass",IF(AND(D82-D81&lt;=5,D81-D80&lt;=5),"pass (tol. 5 s)","fail"))</f>
        <v>pass</v>
      </c>
      <c r="E85" s="6"/>
      <c r="F85" s="6"/>
      <c r="G85" s="6"/>
      <c r="H85" s="5" t="s">
        <v>68</v>
      </c>
    </row>
    <row r="86" customFormat="false" ht="15" hidden="false" customHeight="false" outlineLevel="0" collapsed="false">
      <c r="A86" s="5" t="s">
        <v>69</v>
      </c>
      <c r="B86" s="13" t="n">
        <v>0.524142779223798</v>
      </c>
      <c r="C86" s="7" t="n">
        <v>0.0175312047652415</v>
      </c>
      <c r="D86" s="7" t="n">
        <v>0.75272377669034</v>
      </c>
      <c r="E86" s="7" t="n">
        <v>0.0113607198492211</v>
      </c>
      <c r="F86" s="8" t="n">
        <f aca="false">IF(B86=0,"",D86/B86-1)</f>
        <v>0.436104448114399</v>
      </c>
      <c r="G86" s="6"/>
      <c r="H86" s="5"/>
    </row>
    <row r="87" customFormat="false" ht="15" hidden="false" customHeight="false" outlineLevel="0" collapsed="false">
      <c r="A87" s="5" t="s">
        <v>70</v>
      </c>
      <c r="B87" s="7" t="n">
        <v>0.179404232132765</v>
      </c>
      <c r="C87" s="7" t="n">
        <v>0.0126959205915095</v>
      </c>
      <c r="D87" s="13" t="n">
        <v>0.171068729827226</v>
      </c>
      <c r="E87" s="7" t="n">
        <v>0.0117730486931533</v>
      </c>
      <c r="F87" s="8" t="n">
        <f aca="false">IF(B87=0,"",D87/B87-1)</f>
        <v>-0.0464621274896717</v>
      </c>
      <c r="G87" s="6"/>
      <c r="H87" s="5"/>
    </row>
    <row r="88" customFormat="false" ht="15" hidden="false" customHeight="false" outlineLevel="0" collapsed="false">
      <c r="A88" s="5" t="s">
        <v>71</v>
      </c>
      <c r="B88" s="13" t="n">
        <v>0</v>
      </c>
      <c r="C88" s="7" t="n">
        <v>0</v>
      </c>
      <c r="D88" s="7" t="n">
        <v>0</v>
      </c>
      <c r="E88" s="7" t="n">
        <v>0</v>
      </c>
      <c r="F88" s="8" t="str">
        <f aca="false">IF(B88=0,"",D88/B88-1)</f>
        <v/>
      </c>
      <c r="G88" s="6"/>
      <c r="H88" s="5" t="s">
        <v>63</v>
      </c>
    </row>
    <row r="89" customFormat="false" ht="15" hidden="false" customHeight="false" outlineLevel="0" collapsed="false">
      <c r="A89" s="5" t="s">
        <v>72</v>
      </c>
      <c r="B89" s="13" t="n">
        <v>0.507123502070496</v>
      </c>
      <c r="C89" s="7" t="n">
        <v>0.0167552809913015</v>
      </c>
      <c r="D89" s="7" t="n">
        <v>0.723901124702558</v>
      </c>
      <c r="E89" s="7" t="n">
        <v>0.0106797975135466</v>
      </c>
      <c r="F89" s="8" t="n">
        <f aca="false">IF(B89=0,"",D89/B89-1)</f>
        <v>0.427465147537035</v>
      </c>
      <c r="G89" s="6"/>
      <c r="H89" s="5"/>
    </row>
    <row r="90" customFormat="false" ht="15" hidden="false" customHeight="false" outlineLevel="0" collapsed="false">
      <c r="A90" s="5" t="s">
        <v>73</v>
      </c>
      <c r="B90" s="13" t="n">
        <v>0.524642957106457</v>
      </c>
      <c r="C90" s="7" t="n">
        <v>0.0168949192105176</v>
      </c>
      <c r="D90" s="7" t="n">
        <v>0.742273975685029</v>
      </c>
      <c r="E90" s="7" t="n">
        <v>0.0107957773150188</v>
      </c>
      <c r="F90" s="8" t="n">
        <f aca="false">IF(B90=0,"",D90/B90-1)</f>
        <v>0.414817383194972</v>
      </c>
      <c r="G90" s="6" t="s">
        <v>184</v>
      </c>
      <c r="H90" s="5"/>
    </row>
    <row r="91" customFormat="false" ht="15" hidden="false" customHeight="false" outlineLevel="0" collapsed="false">
      <c r="A91" s="5" t="s">
        <v>117</v>
      </c>
      <c r="B91" s="6" t="str">
        <f aca="false">IF(B87&lt;=B86,"pass (amb n/a)","fail (amb n/a)")</f>
        <v>pass (amb n/a)</v>
      </c>
      <c r="C91" s="6"/>
      <c r="D91" s="6" t="str">
        <f aca="false">IF(D87&lt;=D86,"pass (amb n/a)","fail (amb n/a)")</f>
        <v>pass (amb n/a)</v>
      </c>
      <c r="E91" s="6"/>
      <c r="F91" s="6"/>
      <c r="G91" s="6"/>
      <c r="H91" s="5" t="s">
        <v>118</v>
      </c>
    </row>
    <row r="94" customFormat="false" ht="15" hidden="false" customHeight="false" outlineLevel="0" collapsed="false">
      <c r="A94" s="1" t="s">
        <v>185</v>
      </c>
    </row>
    <row r="95" customFormat="false" ht="15" hidden="false" customHeight="false" outlineLevel="0" collapsed="false">
      <c r="A95" s="11" t="s">
        <v>186</v>
      </c>
    </row>
    <row r="97" customFormat="false" ht="15" hidden="false" customHeight="false" outlineLevel="0" collapsed="false">
      <c r="A97" s="12" t="s">
        <v>187</v>
      </c>
      <c r="B97" s="12"/>
      <c r="C97" s="12"/>
      <c r="D97" s="12"/>
      <c r="E97" s="12"/>
      <c r="F97" s="12"/>
      <c r="G97" s="12"/>
      <c r="H97" s="12"/>
    </row>
    <row r="98" customFormat="false" ht="15" hidden="false" customHeight="false" outlineLevel="0" collapsed="false">
      <c r="A98" s="3" t="s">
        <v>52</v>
      </c>
      <c r="B98" s="4" t="s">
        <v>53</v>
      </c>
      <c r="C98" s="4" t="s">
        <v>54</v>
      </c>
      <c r="D98" s="4" t="s">
        <v>55</v>
      </c>
      <c r="E98" s="4" t="s">
        <v>56</v>
      </c>
      <c r="F98" s="4" t="s">
        <v>57</v>
      </c>
      <c r="G98" s="4" t="s">
        <v>58</v>
      </c>
      <c r="H98" s="3" t="s">
        <v>59</v>
      </c>
    </row>
    <row r="99" customFormat="false" ht="15" hidden="false" customHeight="false" outlineLevel="0" collapsed="false">
      <c r="A99" s="5" t="s">
        <v>60</v>
      </c>
      <c r="B99" s="13" t="n">
        <v>16.6253289847842</v>
      </c>
      <c r="C99" s="7" t="n">
        <v>1.16730740243032</v>
      </c>
      <c r="D99" s="7" t="n">
        <v>17.0993937283172</v>
      </c>
      <c r="E99" s="7" t="n">
        <v>2.80382508792183</v>
      </c>
      <c r="F99" s="8" t="n">
        <f aca="false">IF(B99=0,"",D99/B99-1)</f>
        <v>0.0285146082803451</v>
      </c>
      <c r="G99" s="6"/>
      <c r="H99" s="5"/>
    </row>
    <row r="100" customFormat="false" ht="15" hidden="false" customHeight="false" outlineLevel="0" collapsed="false">
      <c r="A100" s="5" t="s">
        <v>61</v>
      </c>
      <c r="B100" s="7" t="n">
        <v>8.31010824058173</v>
      </c>
      <c r="C100" s="7" t="n">
        <v>1.66291852160493</v>
      </c>
      <c r="D100" s="13" t="n">
        <v>5.77119266143125</v>
      </c>
      <c r="E100" s="7" t="n">
        <v>4.62472264379756</v>
      </c>
      <c r="F100" s="8" t="n">
        <f aca="false">IF(B100=0,"",D100/B100-1)</f>
        <v>-0.305521360931485</v>
      </c>
      <c r="G100" s="6"/>
      <c r="H100" s="5"/>
    </row>
    <row r="101" customFormat="false" ht="15" hidden="false" customHeight="false" outlineLevel="0" collapsed="false">
      <c r="A101" s="5" t="s">
        <v>62</v>
      </c>
      <c r="B101" s="13" t="n">
        <v>22</v>
      </c>
      <c r="C101" s="7" t="n">
        <v>52.0072110384704</v>
      </c>
      <c r="D101" s="7" t="n">
        <v>160</v>
      </c>
      <c r="E101" s="7" t="n">
        <v>463.57307945997</v>
      </c>
      <c r="F101" s="8" t="n">
        <f aca="false">IF(B101=0,"",D101/B101-1)</f>
        <v>6.27272727272727</v>
      </c>
      <c r="G101" s="6"/>
      <c r="H101" s="5" t="s">
        <v>63</v>
      </c>
    </row>
    <row r="102" customFormat="false" ht="15" hidden="false" customHeight="false" outlineLevel="0" collapsed="false">
      <c r="A102" s="5" t="s">
        <v>64</v>
      </c>
      <c r="B102" s="13" t="n">
        <v>16.2028073110655</v>
      </c>
      <c r="C102" s="7" t="n">
        <v>1.17438918053595</v>
      </c>
      <c r="D102" s="7" t="n">
        <v>16.550201957309</v>
      </c>
      <c r="E102" s="7" t="n">
        <v>2.86091571297782</v>
      </c>
      <c r="F102" s="8" t="n">
        <f aca="false">IF(B102=0,"",D102/B102-1)</f>
        <v>0.021440398541694</v>
      </c>
      <c r="G102" s="6"/>
      <c r="H102" s="5"/>
    </row>
    <row r="103" customFormat="false" ht="15" hidden="false" customHeight="false" outlineLevel="0" collapsed="false">
      <c r="A103" s="5" t="s">
        <v>65</v>
      </c>
      <c r="B103" s="13" t="n">
        <v>17.0011187356766</v>
      </c>
      <c r="C103" s="7" t="n">
        <v>1.30314780689987</v>
      </c>
      <c r="D103" s="7" t="n">
        <v>17.2651837725786</v>
      </c>
      <c r="E103" s="7" t="n">
        <v>3.3469985993183</v>
      </c>
      <c r="F103" s="8" t="n">
        <f aca="false">IF(B103=0,"",D103/B103-1)</f>
        <v>0.0155322153210906</v>
      </c>
      <c r="G103" s="6" t="s">
        <v>188</v>
      </c>
      <c r="H103" s="5"/>
    </row>
    <row r="104" customFormat="false" ht="15" hidden="false" customHeight="false" outlineLevel="0" collapsed="false">
      <c r="A104" s="5" t="s">
        <v>67</v>
      </c>
      <c r="B104" s="6" t="str">
        <f aca="false">IF(AND(B101&lt;=B100,B100&lt;=B99),"pass",IF(AND(B101-B100&lt;=5,B100-B99&lt;=5),"pass (tol. 5 s)","fail"))</f>
        <v>fail</v>
      </c>
      <c r="C104" s="6"/>
      <c r="D104" s="6" t="str">
        <f aca="false">IF(AND(D101&lt;=D100,D100&lt;=D99),"pass",IF(AND(D101-D100&lt;=5,D100-D99&lt;=5),"pass (tol. 5 s)","fail"))</f>
        <v>fail</v>
      </c>
      <c r="E104" s="6"/>
      <c r="F104" s="6"/>
      <c r="G104" s="6"/>
      <c r="H104" s="5" t="s">
        <v>68</v>
      </c>
    </row>
    <row r="105" customFormat="false" ht="15" hidden="false" customHeight="false" outlineLevel="0" collapsed="false">
      <c r="A105" s="5" t="s">
        <v>69</v>
      </c>
      <c r="B105" s="7" t="n">
        <v>1.11825075698106</v>
      </c>
      <c r="C105" s="7" t="n">
        <v>0.0278516114051082</v>
      </c>
      <c r="D105" s="13" t="n">
        <v>0.454753547989103</v>
      </c>
      <c r="E105" s="7" t="n">
        <v>0.0418109483048829</v>
      </c>
      <c r="F105" s="8" t="n">
        <f aca="false">IF(B105=0,"",D105/B105-1)</f>
        <v>-0.593334907085778</v>
      </c>
      <c r="G105" s="6"/>
      <c r="H105" s="5"/>
    </row>
    <row r="106" customFormat="false" ht="15" hidden="false" customHeight="false" outlineLevel="0" collapsed="false">
      <c r="A106" s="5" t="s">
        <v>70</v>
      </c>
      <c r="B106" s="7" t="n">
        <v>0.331176296550822</v>
      </c>
      <c r="C106" s="7" t="n">
        <v>0.025560280405501</v>
      </c>
      <c r="D106" s="13" t="n">
        <v>0.196607771009584</v>
      </c>
      <c r="E106" s="7" t="n">
        <v>0.0305091949599643</v>
      </c>
      <c r="F106" s="8" t="n">
        <f aca="false">IF(B106=0,"",D106/B106-1)</f>
        <v>-0.406335015346088</v>
      </c>
      <c r="G106" s="6"/>
      <c r="H106" s="5"/>
    </row>
    <row r="107" customFormat="false" ht="15" hidden="false" customHeight="false" outlineLevel="0" collapsed="false">
      <c r="A107" s="5" t="s">
        <v>71</v>
      </c>
      <c r="B107" s="7" t="n">
        <v>0.25</v>
      </c>
      <c r="C107" s="7" t="n">
        <v>0.25</v>
      </c>
      <c r="D107" s="13" t="n">
        <v>0.2</v>
      </c>
      <c r="E107" s="7" t="n">
        <v>0.4</v>
      </c>
      <c r="F107" s="8" t="n">
        <f aca="false">IF(B107=0,"",D107/B107-1)</f>
        <v>-0.2</v>
      </c>
      <c r="G107" s="6"/>
      <c r="H107" s="5" t="s">
        <v>63</v>
      </c>
    </row>
    <row r="108" customFormat="false" ht="15" hidden="false" customHeight="false" outlineLevel="0" collapsed="false">
      <c r="A108" s="5" t="s">
        <v>72</v>
      </c>
      <c r="B108" s="7" t="n">
        <v>1.07797483506242</v>
      </c>
      <c r="C108" s="7" t="n">
        <v>0.0268899626968498</v>
      </c>
      <c r="D108" s="13" t="n">
        <v>0.441543329746139</v>
      </c>
      <c r="E108" s="7" t="n">
        <v>0.0411504042255639</v>
      </c>
      <c r="F108" s="8" t="n">
        <f aca="false">IF(B108=0,"",D108/B108-1)</f>
        <v>-0.590395512599723</v>
      </c>
      <c r="G108" s="6"/>
      <c r="H108" s="5"/>
    </row>
    <row r="109" customFormat="false" ht="15" hidden="false" customHeight="false" outlineLevel="0" collapsed="false">
      <c r="A109" s="5" t="s">
        <v>73</v>
      </c>
      <c r="B109" s="7" t="n">
        <v>1.11291406653454</v>
      </c>
      <c r="C109" s="7" t="n">
        <v>0.0280710610871536</v>
      </c>
      <c r="D109" s="13" t="n">
        <v>0.46067059717621</v>
      </c>
      <c r="E109" s="7" t="n">
        <v>0.0432526850564914</v>
      </c>
      <c r="F109" s="8" t="n">
        <f aca="false">IF(B109=0,"",D109/B109-1)</f>
        <v>-0.586068133175209</v>
      </c>
      <c r="G109" s="6" t="s">
        <v>116</v>
      </c>
      <c r="H109" s="5"/>
    </row>
    <row r="110" customFormat="false" ht="15" hidden="false" customHeight="false" outlineLevel="0" collapsed="false">
      <c r="A110" s="5" t="s">
        <v>117</v>
      </c>
      <c r="B110" s="6" t="str">
        <f aca="false">IF(B106&lt;=B105,"pass (amb n/a)","fail (amb n/a)")</f>
        <v>pass (amb n/a)</v>
      </c>
      <c r="C110" s="6"/>
      <c r="D110" s="6" t="str">
        <f aca="false">IF(D106&lt;=D105,"pass (amb n/a)","fail (amb n/a)")</f>
        <v>pass (amb n/a)</v>
      </c>
      <c r="E110" s="6"/>
      <c r="F110" s="6"/>
      <c r="G110" s="6"/>
      <c r="H110" s="5" t="s">
        <v>118</v>
      </c>
    </row>
    <row r="112" customFormat="false" ht="15" hidden="false" customHeight="false" outlineLevel="0" collapsed="false">
      <c r="A112" s="12" t="s">
        <v>189</v>
      </c>
      <c r="B112" s="12"/>
      <c r="C112" s="12"/>
      <c r="D112" s="12"/>
      <c r="E112" s="12"/>
      <c r="F112" s="12"/>
      <c r="G112" s="12"/>
      <c r="H112" s="12"/>
    </row>
    <row r="113" customFormat="false" ht="15" hidden="false" customHeight="false" outlineLevel="0" collapsed="false">
      <c r="A113" s="3" t="s">
        <v>52</v>
      </c>
      <c r="B113" s="4" t="s">
        <v>53</v>
      </c>
      <c r="C113" s="4" t="s">
        <v>54</v>
      </c>
      <c r="D113" s="4" t="s">
        <v>55</v>
      </c>
      <c r="E113" s="4" t="s">
        <v>56</v>
      </c>
      <c r="F113" s="4" t="s">
        <v>57</v>
      </c>
      <c r="G113" s="4" t="s">
        <v>58</v>
      </c>
      <c r="H113" s="3" t="s">
        <v>59</v>
      </c>
    </row>
    <row r="114" customFormat="false" ht="15" hidden="false" customHeight="false" outlineLevel="0" collapsed="false">
      <c r="A114" s="5" t="s">
        <v>60</v>
      </c>
      <c r="B114" s="7" t="n">
        <v>15.7620669785379</v>
      </c>
      <c r="C114" s="7" t="n">
        <v>1.44743461023039</v>
      </c>
      <c r="D114" s="13" t="n">
        <v>13.7610665997438</v>
      </c>
      <c r="E114" s="7" t="n">
        <v>1.71595826916205</v>
      </c>
      <c r="F114" s="8" t="n">
        <f aca="false">IF(B114=0,"",D114/B114-1)</f>
        <v>-0.126950379129758</v>
      </c>
      <c r="G114" s="6"/>
      <c r="H114" s="5"/>
    </row>
    <row r="115" customFormat="false" ht="15" hidden="false" customHeight="false" outlineLevel="0" collapsed="false">
      <c r="A115" s="5" t="s">
        <v>61</v>
      </c>
      <c r="B115" s="7" t="n">
        <v>7.71363064685002</v>
      </c>
      <c r="C115" s="7" t="n">
        <v>1.38597408835516</v>
      </c>
      <c r="D115" s="13" t="n">
        <v>4.59825327510917</v>
      </c>
      <c r="E115" s="7" t="n">
        <v>0.529738151453594</v>
      </c>
      <c r="F115" s="8" t="n">
        <f aca="false">IF(B115=0,"",D115/B115-1)</f>
        <v>-0.403879510748037</v>
      </c>
      <c r="G115" s="6"/>
      <c r="H115" s="5"/>
    </row>
    <row r="116" customFormat="false" ht="15" hidden="false" customHeight="false" outlineLevel="0" collapsed="false">
      <c r="A116" s="5" t="s">
        <v>62</v>
      </c>
      <c r="B116" s="7" t="n">
        <v>2.5</v>
      </c>
      <c r="C116" s="7" t="n">
        <v>2.04124145231932</v>
      </c>
      <c r="D116" s="13" t="n">
        <v>0</v>
      </c>
      <c r="E116" s="7" t="n">
        <v>0</v>
      </c>
      <c r="F116" s="8" t="n">
        <f aca="false">IF(B116=0,"",D116/B116-1)</f>
        <v>-1</v>
      </c>
      <c r="G116" s="6"/>
      <c r="H116" s="5" t="s">
        <v>63</v>
      </c>
    </row>
    <row r="117" customFormat="false" ht="15" hidden="false" customHeight="false" outlineLevel="0" collapsed="false">
      <c r="A117" s="5" t="s">
        <v>64</v>
      </c>
      <c r="B117" s="7" t="n">
        <v>15.3494260371416</v>
      </c>
      <c r="C117" s="7" t="n">
        <v>1.44095371168836</v>
      </c>
      <c r="D117" s="13" t="n">
        <v>13.2976366987359</v>
      </c>
      <c r="E117" s="7" t="n">
        <v>1.6431525627768</v>
      </c>
      <c r="F117" s="8" t="n">
        <f aca="false">IF(B117=0,"",D117/B117-1)</f>
        <v>-0.133672056104306</v>
      </c>
      <c r="G117" s="6"/>
      <c r="H117" s="5"/>
    </row>
    <row r="118" customFormat="false" ht="15" hidden="false" customHeight="false" outlineLevel="0" collapsed="false">
      <c r="A118" s="5" t="s">
        <v>65</v>
      </c>
      <c r="B118" s="7" t="n">
        <v>16.0787040385087</v>
      </c>
      <c r="C118" s="7" t="n">
        <v>1.56071952160253</v>
      </c>
      <c r="D118" s="13" t="n">
        <v>13.759763195124</v>
      </c>
      <c r="E118" s="7" t="n">
        <v>1.68208316924463</v>
      </c>
      <c r="F118" s="8" t="n">
        <f aca="false">IF(B118=0,"",D118/B118-1)</f>
        <v>-0.144224362724185</v>
      </c>
      <c r="G118" s="6" t="s">
        <v>190</v>
      </c>
      <c r="H118" s="5"/>
    </row>
    <row r="119" customFormat="false" ht="15" hidden="false" customHeight="false" outlineLevel="0" collapsed="false">
      <c r="A119" s="5" t="s">
        <v>67</v>
      </c>
      <c r="B119" s="6" t="str">
        <f aca="false">IF(AND(B116&lt;=B115,B115&lt;=B114),"pass",IF(AND(B116-B115&lt;=5,B115-B114&lt;=5),"pass (tol. 5 s)","fail"))</f>
        <v>pass</v>
      </c>
      <c r="C119" s="6"/>
      <c r="D119" s="6" t="str">
        <f aca="false">IF(AND(D116&lt;=D115,D115&lt;=D114),"pass",IF(AND(D116-D115&lt;=5,D115-D114&lt;=5),"pass (tol. 5 s)","fail"))</f>
        <v>pass</v>
      </c>
      <c r="E119" s="6"/>
      <c r="F119" s="6"/>
      <c r="G119" s="6"/>
      <c r="H119" s="5" t="s">
        <v>68</v>
      </c>
    </row>
    <row r="120" customFormat="false" ht="15" hidden="false" customHeight="false" outlineLevel="0" collapsed="false">
      <c r="A120" s="5" t="s">
        <v>69</v>
      </c>
      <c r="B120" s="7" t="n">
        <v>1.10609763383811</v>
      </c>
      <c r="C120" s="7" t="n">
        <v>0.0418164629323776</v>
      </c>
      <c r="D120" s="13" t="n">
        <v>0.503470300589324</v>
      </c>
      <c r="E120" s="7" t="n">
        <v>0.0149251034109999</v>
      </c>
      <c r="F120" s="8" t="n">
        <f aca="false">IF(B120=0,"",D120/B120-1)</f>
        <v>-0.544822911479969</v>
      </c>
      <c r="G120" s="6"/>
      <c r="H120" s="5"/>
    </row>
    <row r="121" customFormat="false" ht="15" hidden="false" customHeight="false" outlineLevel="0" collapsed="false">
      <c r="A121" s="5" t="s">
        <v>70</v>
      </c>
      <c r="B121" s="7" t="n">
        <v>0.32076278760949</v>
      </c>
      <c r="C121" s="7" t="n">
        <v>0.0133859799454869</v>
      </c>
      <c r="D121" s="13" t="n">
        <v>0.228165938864629</v>
      </c>
      <c r="E121" s="7" t="n">
        <v>0.020704997977636</v>
      </c>
      <c r="F121" s="8" t="n">
        <f aca="false">IF(B121=0,"",D121/B121-1)</f>
        <v>-0.28867702963597</v>
      </c>
      <c r="G121" s="6"/>
      <c r="H121" s="5"/>
    </row>
    <row r="122" customFormat="false" ht="15" hidden="false" customHeight="false" outlineLevel="0" collapsed="false">
      <c r="A122" s="5" t="s">
        <v>71</v>
      </c>
      <c r="B122" s="7" t="n">
        <v>0.333333333333333</v>
      </c>
      <c r="C122" s="7" t="n">
        <v>0.235702260395516</v>
      </c>
      <c r="D122" s="13" t="n">
        <v>0</v>
      </c>
      <c r="E122" s="7" t="n">
        <v>0</v>
      </c>
      <c r="F122" s="8" t="n">
        <f aca="false">IF(B122=0,"",D122/B122-1)</f>
        <v>-1</v>
      </c>
      <c r="G122" s="6"/>
      <c r="H122" s="5" t="s">
        <v>63</v>
      </c>
    </row>
    <row r="123" customFormat="false" ht="15" hidden="false" customHeight="false" outlineLevel="0" collapsed="false">
      <c r="A123" s="5" t="s">
        <v>72</v>
      </c>
      <c r="B123" s="7" t="n">
        <v>1.06594748726485</v>
      </c>
      <c r="C123" s="7" t="n">
        <v>0.0401134522193368</v>
      </c>
      <c r="D123" s="13" t="n">
        <v>0.489538391955466</v>
      </c>
      <c r="E123" s="7" t="n">
        <v>0.0151621883576196</v>
      </c>
      <c r="F123" s="8" t="n">
        <f aca="false">IF(B123=0,"",D123/B123-1)</f>
        <v>-0.540748115827369</v>
      </c>
      <c r="G123" s="6"/>
      <c r="H123" s="5"/>
    </row>
    <row r="124" customFormat="false" ht="15" hidden="false" customHeight="false" outlineLevel="0" collapsed="false">
      <c r="A124" s="5" t="s">
        <v>73</v>
      </c>
      <c r="B124" s="7" t="n">
        <v>1.10002594899126</v>
      </c>
      <c r="C124" s="7" t="n">
        <v>0.0416015645457965</v>
      </c>
      <c r="D124" s="13" t="n">
        <v>0.511153789717403</v>
      </c>
      <c r="E124" s="7" t="n">
        <v>0.0169298719404022</v>
      </c>
      <c r="F124" s="8" t="n">
        <f aca="false">IF(B124=0,"",D124/B124-1)</f>
        <v>-0.535325698283628</v>
      </c>
      <c r="G124" s="6" t="s">
        <v>191</v>
      </c>
      <c r="H124" s="5"/>
    </row>
    <row r="125" customFormat="false" ht="15" hidden="false" customHeight="false" outlineLevel="0" collapsed="false">
      <c r="A125" s="5" t="s">
        <v>117</v>
      </c>
      <c r="B125" s="6" t="str">
        <f aca="false">IF(B121&lt;=B120,"pass (amb n/a)","fail (amb n/a)")</f>
        <v>pass (amb n/a)</v>
      </c>
      <c r="C125" s="6"/>
      <c r="D125" s="6" t="str">
        <f aca="false">IF(D121&lt;=D120,"pass (amb n/a)","fail (amb n/a)")</f>
        <v>pass (amb n/a)</v>
      </c>
      <c r="E125" s="6"/>
      <c r="F125" s="6"/>
      <c r="G125" s="6"/>
      <c r="H125" s="5" t="s">
        <v>118</v>
      </c>
    </row>
    <row r="127" customFormat="false" ht="15" hidden="false" customHeight="false" outlineLevel="0" collapsed="false">
      <c r="A127" s="12" t="s">
        <v>192</v>
      </c>
      <c r="B127" s="12"/>
      <c r="C127" s="12"/>
      <c r="D127" s="12"/>
      <c r="E127" s="12"/>
      <c r="F127" s="12"/>
      <c r="G127" s="12"/>
      <c r="H127" s="12"/>
    </row>
    <row r="128" customFormat="false" ht="15" hidden="false" customHeight="false" outlineLevel="0" collapsed="false">
      <c r="A128" s="3" t="s">
        <v>120</v>
      </c>
      <c r="B128" s="4" t="s">
        <v>79</v>
      </c>
      <c r="C128" s="4" t="s">
        <v>80</v>
      </c>
      <c r="D128" s="4" t="s">
        <v>81</v>
      </c>
      <c r="E128" s="4" t="s">
        <v>82</v>
      </c>
      <c r="F128" s="4" t="s">
        <v>83</v>
      </c>
      <c r="G128" s="4" t="s">
        <v>84</v>
      </c>
      <c r="H128" s="3" t="s">
        <v>85</v>
      </c>
      <c r="I128" s="4" t="s">
        <v>86</v>
      </c>
      <c r="J128" s="4" t="s">
        <v>87</v>
      </c>
      <c r="K128" s="4" t="s">
        <v>88</v>
      </c>
      <c r="L128" s="4" t="s">
        <v>89</v>
      </c>
      <c r="M128" s="4" t="s">
        <v>90</v>
      </c>
    </row>
    <row r="129" customFormat="false" ht="15" hidden="false" customHeight="false" outlineLevel="0" collapsed="false">
      <c r="A129" s="5" t="s">
        <v>121</v>
      </c>
      <c r="B129" s="7" t="n">
        <v>2.5</v>
      </c>
      <c r="C129" s="7" t="n">
        <v>35</v>
      </c>
      <c r="D129" s="7" t="n">
        <v>0</v>
      </c>
      <c r="E129" s="7" t="n">
        <v>5</v>
      </c>
      <c r="F129" s="7" t="n">
        <v>2.5</v>
      </c>
      <c r="G129" s="7" t="n">
        <v>0</v>
      </c>
      <c r="H129" s="10" t="n">
        <v>0</v>
      </c>
      <c r="I129" s="7" t="n">
        <v>0</v>
      </c>
      <c r="J129" s="7" t="n">
        <v>175</v>
      </c>
      <c r="K129" s="7" t="n">
        <v>0</v>
      </c>
      <c r="L129" s="7" t="n">
        <f aca="false">AVERAGE(B129:K129)</f>
        <v>22</v>
      </c>
      <c r="M129" s="7" t="n">
        <f aca="false">STDEV(B129:K129)</f>
        <v>54.8204138782058</v>
      </c>
    </row>
    <row r="130" customFormat="false" ht="15" hidden="false" customHeight="false" outlineLevel="0" collapsed="false">
      <c r="A130" s="5" t="s">
        <v>122</v>
      </c>
      <c r="B130" s="7" t="n">
        <v>5</v>
      </c>
      <c r="C130" s="7" t="n">
        <v>37.5</v>
      </c>
      <c r="D130" s="7" t="n">
        <v>5</v>
      </c>
      <c r="E130" s="7" t="n">
        <v>0</v>
      </c>
      <c r="F130" s="7" t="n">
        <v>5</v>
      </c>
      <c r="G130" s="7" t="n">
        <v>0</v>
      </c>
      <c r="H130" s="10" t="n">
        <v>0</v>
      </c>
      <c r="I130" s="7" t="n">
        <v>5</v>
      </c>
      <c r="J130" s="7" t="n">
        <v>172.5</v>
      </c>
      <c r="K130" s="7" t="n">
        <v>5</v>
      </c>
      <c r="L130" s="7" t="n">
        <f aca="false">AVERAGE(B130:K130)</f>
        <v>23.5</v>
      </c>
      <c r="M130" s="7" t="n">
        <f aca="false">STDEV(B130:K130)</f>
        <v>53.5049322752378</v>
      </c>
    </row>
    <row r="131" customFormat="false" ht="15" hidden="false" customHeight="false" outlineLevel="0" collapsed="false">
      <c r="A131" s="5" t="s">
        <v>123</v>
      </c>
      <c r="B131" s="7" t="n">
        <v>0.5</v>
      </c>
      <c r="C131" s="7" t="n">
        <v>0.5</v>
      </c>
      <c r="D131" s="7" t="n">
        <v>0</v>
      </c>
      <c r="E131" s="7" t="n">
        <v>0.5</v>
      </c>
      <c r="F131" s="7" t="n">
        <v>0.5</v>
      </c>
      <c r="G131" s="7" t="n">
        <v>0</v>
      </c>
      <c r="H131" s="10" t="n">
        <v>0</v>
      </c>
      <c r="I131" s="7" t="n">
        <v>0</v>
      </c>
      <c r="J131" s="7" t="n">
        <v>0.5</v>
      </c>
      <c r="K131" s="7" t="n">
        <v>0</v>
      </c>
      <c r="L131" s="7" t="n">
        <f aca="false">AVERAGE(B131:K131)</f>
        <v>0.25</v>
      </c>
      <c r="M131" s="7" t="n">
        <f aca="false">STDEV(B131:K131)</f>
        <v>0.263523138347365</v>
      </c>
    </row>
    <row r="132" customFormat="false" ht="15" hidden="false" customHeight="false" outlineLevel="0" collapsed="false">
      <c r="A132" s="5" t="s">
        <v>124</v>
      </c>
      <c r="B132" s="7" t="n">
        <v>0.5</v>
      </c>
      <c r="C132" s="7" t="n">
        <v>1</v>
      </c>
      <c r="D132" s="7" t="n">
        <v>0.5</v>
      </c>
      <c r="E132" s="7" t="n">
        <v>0</v>
      </c>
      <c r="F132" s="7" t="n">
        <v>0.5</v>
      </c>
      <c r="G132" s="7" t="n">
        <v>0</v>
      </c>
      <c r="H132" s="10" t="n">
        <v>0</v>
      </c>
      <c r="I132" s="7" t="n">
        <v>0.5</v>
      </c>
      <c r="J132" s="7" t="n">
        <v>0.5</v>
      </c>
      <c r="K132" s="7" t="n">
        <v>0.5</v>
      </c>
      <c r="L132" s="7" t="n">
        <f aca="false">AVERAGE(B132:K132)</f>
        <v>0.4</v>
      </c>
      <c r="M132" s="7" t="n">
        <f aca="false">STDEV(B132:K132)</f>
        <v>0.316227766016838</v>
      </c>
    </row>
    <row r="133" customFormat="false" ht="15" hidden="false" customHeight="false" outlineLevel="0" collapsed="false">
      <c r="A133" s="5" t="s">
        <v>125</v>
      </c>
      <c r="B133" s="7" t="n">
        <v>0</v>
      </c>
      <c r="C133" s="7" t="n">
        <v>0</v>
      </c>
      <c r="D133" s="7" t="n">
        <v>0</v>
      </c>
      <c r="E133" s="7" t="n">
        <v>0</v>
      </c>
      <c r="F133" s="7" t="n">
        <v>50</v>
      </c>
      <c r="G133" s="7" t="n">
        <v>0</v>
      </c>
      <c r="H133" s="10" t="n">
        <v>0</v>
      </c>
      <c r="I133" s="7" t="n">
        <v>0</v>
      </c>
      <c r="J133" s="7" t="n">
        <v>0</v>
      </c>
      <c r="K133" s="7" t="n">
        <v>1550</v>
      </c>
      <c r="L133" s="7" t="n">
        <f aca="false">AVERAGE(B133:K133)</f>
        <v>160</v>
      </c>
      <c r="M133" s="7" t="n">
        <f aca="false">STDEV(B133:K133)</f>
        <v>488.648931010575</v>
      </c>
    </row>
    <row r="134" customFormat="false" ht="15" hidden="false" customHeight="false" outlineLevel="0" collapsed="false">
      <c r="A134" s="5" t="s">
        <v>126</v>
      </c>
      <c r="B134" s="7" t="n">
        <v>5</v>
      </c>
      <c r="C134" s="7" t="n">
        <v>0</v>
      </c>
      <c r="D134" s="7" t="n">
        <v>0</v>
      </c>
      <c r="E134" s="7" t="n">
        <v>2.5</v>
      </c>
      <c r="F134" s="7" t="n">
        <v>25</v>
      </c>
      <c r="G134" s="7" t="n">
        <v>0</v>
      </c>
      <c r="H134" s="10" t="n">
        <v>0</v>
      </c>
      <c r="I134" s="7" t="n">
        <v>0</v>
      </c>
      <c r="J134" s="7" t="n">
        <v>0</v>
      </c>
      <c r="K134" s="7" t="n">
        <v>1550</v>
      </c>
      <c r="L134" s="7" t="n">
        <f aca="false">AVERAGE(B134:K134)</f>
        <v>158.25</v>
      </c>
      <c r="M134" s="7" t="n">
        <f aca="false">STDEV(B134:K134)</f>
        <v>489.072321963849</v>
      </c>
    </row>
    <row r="135" customFormat="false" ht="15" hidden="false" customHeight="false" outlineLevel="0" collapsed="false">
      <c r="A135" s="5" t="s">
        <v>127</v>
      </c>
      <c r="B135" s="7" t="n">
        <v>0</v>
      </c>
      <c r="C135" s="7" t="n">
        <v>0</v>
      </c>
      <c r="D135" s="7" t="n">
        <v>0</v>
      </c>
      <c r="E135" s="7" t="n">
        <v>0</v>
      </c>
      <c r="F135" s="7" t="n">
        <v>1</v>
      </c>
      <c r="G135" s="7" t="n">
        <v>0</v>
      </c>
      <c r="H135" s="10" t="n">
        <v>0</v>
      </c>
      <c r="I135" s="7" t="n">
        <v>0</v>
      </c>
      <c r="J135" s="7" t="n">
        <v>0</v>
      </c>
      <c r="K135" s="7" t="n">
        <v>1</v>
      </c>
      <c r="L135" s="7" t="n">
        <f aca="false">AVERAGE(B135:K135)</f>
        <v>0.2</v>
      </c>
      <c r="M135" s="7" t="n">
        <f aca="false">STDEV(B135:K135)</f>
        <v>0.421637021355784</v>
      </c>
    </row>
    <row r="136" customFormat="false" ht="15" hidden="false" customHeight="false" outlineLevel="0" collapsed="false">
      <c r="A136" s="5" t="s">
        <v>128</v>
      </c>
      <c r="B136" s="7" t="n">
        <v>0.5</v>
      </c>
      <c r="C136" s="7" t="n">
        <v>0</v>
      </c>
      <c r="D136" s="7" t="n">
        <v>0</v>
      </c>
      <c r="E136" s="7" t="n">
        <v>0.5</v>
      </c>
      <c r="F136" s="7" t="n">
        <v>0.5</v>
      </c>
      <c r="G136" s="7" t="n">
        <v>0</v>
      </c>
      <c r="H136" s="10" t="n">
        <v>0</v>
      </c>
      <c r="I136" s="7" t="n">
        <v>0</v>
      </c>
      <c r="J136" s="7" t="n">
        <v>0</v>
      </c>
      <c r="K136" s="7" t="n">
        <v>1</v>
      </c>
      <c r="L136" s="7" t="n">
        <f aca="false">AVERAGE(B136:K136)</f>
        <v>0.25</v>
      </c>
      <c r="M136" s="7" t="n">
        <f aca="false">STDEV(B136:K136)</f>
        <v>0.353553390593274</v>
      </c>
    </row>
    <row r="137" customFormat="false" ht="15" hidden="false" customHeight="false" outlineLevel="0" collapsed="false">
      <c r="A137" s="5" t="s">
        <v>129</v>
      </c>
      <c r="B137" s="6" t="str">
        <f aca="false">SUMPRODUCT(--(B129:K129&lt;B130:K130))&amp;" / "&amp;SUMPRODUCT(--(B129:K129=B130:K130))&amp;" (of 10)"</f>
        <v>6 / 2 (of 10)</v>
      </c>
    </row>
    <row r="138" customFormat="false" ht="15" hidden="false" customHeight="false" outlineLevel="0" collapsed="false">
      <c r="A138" s="5" t="s">
        <v>130</v>
      </c>
      <c r="B138" s="6" t="str">
        <f aca="false">SUMPRODUCT(--(B131:K131&lt;B132:K132))&amp;" / "&amp;SUMPRODUCT(--(B131:K131=B132:K132))&amp;" (of 10)"</f>
        <v>4 / 5 (of 10)</v>
      </c>
    </row>
    <row r="139" customFormat="false" ht="15" hidden="false" customHeight="false" outlineLevel="0" collapsed="false">
      <c r="A139" s="5" t="s">
        <v>131</v>
      </c>
      <c r="B139" s="6" t="str">
        <f aca="false">SUMPRODUCT(--(B133:K133&lt;B134:K134))&amp;" / "&amp;SUMPRODUCT(--(B133:K133=B134:K134))&amp;" (of 10)"</f>
        <v>2 / 7 (of 10)</v>
      </c>
    </row>
    <row r="140" customFormat="false" ht="15" hidden="false" customHeight="false" outlineLevel="0" collapsed="false">
      <c r="A140" s="5" t="s">
        <v>132</v>
      </c>
      <c r="B140" s="6" t="str">
        <f aca="false">SUMPRODUCT(--(B135:K135&lt;B136:K136))&amp;" / "&amp;SUMPRODUCT(--(B135:K135=B136:K136))&amp;" (of 10)"</f>
        <v>2 / 7 (of 10)</v>
      </c>
    </row>
  </sheetData>
  <mergeCells count="8">
    <mergeCell ref="A4:M4"/>
    <mergeCell ref="A19:H19"/>
    <mergeCell ref="A44:H44"/>
    <mergeCell ref="A59:H59"/>
    <mergeCell ref="A78:H78"/>
    <mergeCell ref="A97:H97"/>
    <mergeCell ref="A112:H112"/>
    <mergeCell ref="A127:H1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2026-09-30T19:18:45Z</dcterms:created>
  <dc:creator>openpyxl</dc:creator>
  <dc:description/>
  <dc:language>en-US</dc:language>
  <cp:lastModifiedBy/>
  <dcterms:modified xsi:type="dcterms:W3CDTF">2026-09-30T19:18:49Z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